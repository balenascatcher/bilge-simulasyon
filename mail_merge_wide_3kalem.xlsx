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rakyaedutr-my.sharepoint.com/personal/oirmakcetin_trakya_edu_tr/Documents/Documents/Olgun/Lisans/Gümrük İşletme Bölümü/Bilge Dersi/Bilge 1/Bilge_1_Son3/"/>
    </mc:Choice>
  </mc:AlternateContent>
  <xr:revisionPtr revIDLastSave="22" documentId="13_ncr:1_{B398E1CC-67E7-4AB0-99E6-2A6A63733B0E}" xr6:coauthVersionLast="47" xr6:coauthVersionMax="47" xr10:uidLastSave="{A2F1C326-BFFB-4038-A954-A672326FDFC2}"/>
  <bookViews>
    <workbookView xWindow="-110" yWindow="-110" windowWidth="25820" windowHeight="15500" xr2:uid="{00000000-000D-0000-FFFF-FFFF00000000}"/>
  </bookViews>
  <sheets>
    <sheet name="MergeData" sheetId="1" r:id="rId1"/>
    <sheet name="Sayfa1" sheetId="2" r:id="rId2"/>
    <sheet name="MergeData (2)" sheetId="3" r:id="rId3"/>
  </sheets>
  <definedNames>
    <definedName name="_xlnm._FilterDatabase" localSheetId="0" hidden="1">MergeData!$A$1:$CP$57</definedName>
    <definedName name="_xlnm._FilterDatabase" localSheetId="2" hidden="1">'MergeData (2)'!$A$1:$CP$57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3" i="1" l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2" i="1"/>
  <c r="CP57" i="3"/>
  <c r="CG57" i="3"/>
  <c r="CK57" i="3" s="1"/>
  <c r="CF57" i="3"/>
  <c r="CE57" i="3"/>
  <c r="BK57" i="3"/>
  <c r="BJ57" i="3"/>
  <c r="BL57" i="3" s="1"/>
  <c r="BP57" i="3" s="1"/>
  <c r="AP57" i="3"/>
  <c r="AO57" i="3"/>
  <c r="AQ57" i="3" s="1"/>
  <c r="AS57" i="3" s="1"/>
  <c r="AU57" i="3" s="1"/>
  <c r="CP56" i="3"/>
  <c r="CF56" i="3"/>
  <c r="CE56" i="3"/>
  <c r="CG56" i="3" s="1"/>
  <c r="CK56" i="3" s="1"/>
  <c r="CD56" i="3"/>
  <c r="BK56" i="3"/>
  <c r="BJ56" i="3"/>
  <c r="BL56" i="3" s="1"/>
  <c r="BP56" i="3" s="1"/>
  <c r="BR56" i="3" s="1"/>
  <c r="BI56" i="3"/>
  <c r="AP56" i="3"/>
  <c r="AO56" i="3"/>
  <c r="AQ56" i="3" s="1"/>
  <c r="AT56" i="3" s="1"/>
  <c r="AU56" i="3" s="1"/>
  <c r="AN56" i="3"/>
  <c r="CP55" i="3"/>
  <c r="CF55" i="3"/>
  <c r="CE55" i="3"/>
  <c r="CG55" i="3" s="1"/>
  <c r="CK55" i="3" s="1"/>
  <c r="CD55" i="3"/>
  <c r="BK55" i="3"/>
  <c r="BJ55" i="3"/>
  <c r="BL55" i="3" s="1"/>
  <c r="BO55" i="3" s="1"/>
  <c r="BP55" i="3" s="1"/>
  <c r="BI55" i="3"/>
  <c r="AV55" i="3"/>
  <c r="AP55" i="3"/>
  <c r="AO55" i="3"/>
  <c r="AQ55" i="3" s="1"/>
  <c r="AU55" i="3" s="1"/>
  <c r="AW55" i="3" s="1"/>
  <c r="AN55" i="3"/>
  <c r="CP54" i="3"/>
  <c r="CF54" i="3"/>
  <c r="CE54" i="3"/>
  <c r="CD54" i="3"/>
  <c r="BK54" i="3"/>
  <c r="BJ54" i="3"/>
  <c r="BL54" i="3" s="1"/>
  <c r="BN54" i="3" s="1"/>
  <c r="BP54" i="3" s="1"/>
  <c r="BI54" i="3"/>
  <c r="AP54" i="3"/>
  <c r="AO54" i="3"/>
  <c r="AQ54" i="3" s="1"/>
  <c r="AU54" i="3" s="1"/>
  <c r="AN54" i="3"/>
  <c r="CP53" i="3"/>
  <c r="CF53" i="3"/>
  <c r="CG53" i="3" s="1"/>
  <c r="CI53" i="3" s="1"/>
  <c r="CK53" i="3" s="1"/>
  <c r="CM53" i="3" s="1"/>
  <c r="CE53" i="3"/>
  <c r="BK53" i="3"/>
  <c r="BJ53" i="3"/>
  <c r="BL53" i="3" s="1"/>
  <c r="BN53" i="3" s="1"/>
  <c r="BP53" i="3" s="1"/>
  <c r="BR53" i="3" s="1"/>
  <c r="AP53" i="3"/>
  <c r="AO53" i="3"/>
  <c r="AQ53" i="3" s="1"/>
  <c r="AS53" i="3" s="1"/>
  <c r="AU53" i="3" s="1"/>
  <c r="K53" i="3"/>
  <c r="CP52" i="3"/>
  <c r="CF52" i="3"/>
  <c r="CG52" i="3" s="1"/>
  <c r="CK52" i="3" s="1"/>
  <c r="CE52" i="3"/>
  <c r="CD52" i="3"/>
  <c r="BR52" i="3"/>
  <c r="BQ52" i="3"/>
  <c r="BP52" i="3"/>
  <c r="BK52" i="3"/>
  <c r="BJ52" i="3"/>
  <c r="BL52" i="3" s="1"/>
  <c r="BI52" i="3"/>
  <c r="AP52" i="3"/>
  <c r="AO52" i="3"/>
  <c r="AQ52" i="3" s="1"/>
  <c r="AU52" i="3" s="1"/>
  <c r="AN52" i="3"/>
  <c r="CP51" i="3"/>
  <c r="CF51" i="3"/>
  <c r="CE51" i="3"/>
  <c r="CG51" i="3" s="1"/>
  <c r="CI51" i="3" s="1"/>
  <c r="CK51" i="3" s="1"/>
  <c r="CD51" i="3"/>
  <c r="BK51" i="3"/>
  <c r="BJ51" i="3"/>
  <c r="BL51" i="3" s="1"/>
  <c r="BN51" i="3" s="1"/>
  <c r="BP51" i="3" s="1"/>
  <c r="BI51" i="3"/>
  <c r="AP51" i="3"/>
  <c r="AQ51" i="3" s="1"/>
  <c r="AS51" i="3" s="1"/>
  <c r="AU51" i="3" s="1"/>
  <c r="AO51" i="3"/>
  <c r="AN51" i="3"/>
  <c r="CP50" i="3"/>
  <c r="CK50" i="3"/>
  <c r="CF50" i="3"/>
  <c r="CE50" i="3"/>
  <c r="CG50" i="3" s="1"/>
  <c r="CI50" i="3" s="1"/>
  <c r="BK50" i="3"/>
  <c r="BL50" i="3" s="1"/>
  <c r="BN50" i="3" s="1"/>
  <c r="BP50" i="3" s="1"/>
  <c r="BJ50" i="3"/>
  <c r="AP50" i="3"/>
  <c r="AO50" i="3"/>
  <c r="AQ50" i="3" s="1"/>
  <c r="AS50" i="3" s="1"/>
  <c r="AU50" i="3" s="1"/>
  <c r="CP49" i="3"/>
  <c r="CL49" i="3"/>
  <c r="CK49" i="3"/>
  <c r="CM49" i="3" s="1"/>
  <c r="CI49" i="3"/>
  <c r="CG49" i="3"/>
  <c r="CF49" i="3"/>
  <c r="CE49" i="3"/>
  <c r="BL49" i="3"/>
  <c r="BN49" i="3" s="1"/>
  <c r="BP49" i="3" s="1"/>
  <c r="BK49" i="3"/>
  <c r="BJ49" i="3"/>
  <c r="AP49" i="3"/>
  <c r="AO49" i="3"/>
  <c r="AQ49" i="3" s="1"/>
  <c r="AS49" i="3" s="1"/>
  <c r="AU49" i="3" s="1"/>
  <c r="CP48" i="3"/>
  <c r="CF48" i="3"/>
  <c r="CG48" i="3" s="1"/>
  <c r="CI48" i="3" s="1"/>
  <c r="CK48" i="3" s="1"/>
  <c r="CE48" i="3"/>
  <c r="CD48" i="3"/>
  <c r="BK48" i="3"/>
  <c r="BL48" i="3" s="1"/>
  <c r="BO48" i="3" s="1"/>
  <c r="BP48" i="3" s="1"/>
  <c r="BJ48" i="3"/>
  <c r="BI48" i="3"/>
  <c r="AP48" i="3"/>
  <c r="AQ48" i="3" s="1"/>
  <c r="AU48" i="3" s="1"/>
  <c r="AO48" i="3"/>
  <c r="AN48" i="3"/>
  <c r="CP47" i="3"/>
  <c r="CG47" i="3"/>
  <c r="CK47" i="3" s="1"/>
  <c r="CF47" i="3"/>
  <c r="CE47" i="3"/>
  <c r="BR47" i="3"/>
  <c r="BQ47" i="3"/>
  <c r="BP47" i="3"/>
  <c r="BL47" i="3"/>
  <c r="BK47" i="3"/>
  <c r="BJ47" i="3"/>
  <c r="AP47" i="3"/>
  <c r="AO47" i="3"/>
  <c r="AQ47" i="3" s="1"/>
  <c r="AS47" i="3" s="1"/>
  <c r="AU47" i="3" s="1"/>
  <c r="CP46" i="3"/>
  <c r="CF46" i="3"/>
  <c r="CE46" i="3"/>
  <c r="CG46" i="3" s="1"/>
  <c r="CK46" i="3" s="1"/>
  <c r="CD46" i="3"/>
  <c r="BK46" i="3"/>
  <c r="BJ46" i="3"/>
  <c r="BL46" i="3" s="1"/>
  <c r="BO46" i="3" s="1"/>
  <c r="BP46" i="3" s="1"/>
  <c r="BI46" i="3"/>
  <c r="AP46" i="3"/>
  <c r="AO46" i="3"/>
  <c r="AQ46" i="3" s="1"/>
  <c r="AU46" i="3" s="1"/>
  <c r="AN46" i="3"/>
  <c r="CP45" i="3"/>
  <c r="CF45" i="3"/>
  <c r="CE45" i="3"/>
  <c r="CG45" i="3" s="1"/>
  <c r="CI45" i="3" s="1"/>
  <c r="CK45" i="3" s="1"/>
  <c r="CD45" i="3"/>
  <c r="BK45" i="3"/>
  <c r="BJ45" i="3"/>
  <c r="BL45" i="3" s="1"/>
  <c r="BN45" i="3" s="1"/>
  <c r="BP45" i="3" s="1"/>
  <c r="BI45" i="3"/>
  <c r="AP45" i="3"/>
  <c r="AO45" i="3"/>
  <c r="AQ45" i="3" s="1"/>
  <c r="AU45" i="3" s="1"/>
  <c r="AN45" i="3"/>
  <c r="CP44" i="3"/>
  <c r="CF44" i="3"/>
  <c r="CE44" i="3"/>
  <c r="CG44" i="3" s="1"/>
  <c r="CK44" i="3" s="1"/>
  <c r="BK44" i="3"/>
  <c r="BJ44" i="3"/>
  <c r="BL44" i="3" s="1"/>
  <c r="BP44" i="3" s="1"/>
  <c r="AQ44" i="3"/>
  <c r="AS44" i="3" s="1"/>
  <c r="AU44" i="3" s="1"/>
  <c r="AP44" i="3"/>
  <c r="AO44" i="3"/>
  <c r="CP43" i="3"/>
  <c r="CF43" i="3"/>
  <c r="CE43" i="3"/>
  <c r="CG43" i="3" s="1"/>
  <c r="CK43" i="3" s="1"/>
  <c r="CD43" i="3"/>
  <c r="BK43" i="3"/>
  <c r="BJ43" i="3"/>
  <c r="BL43" i="3" s="1"/>
  <c r="BN43" i="3" s="1"/>
  <c r="BP43" i="3" s="1"/>
  <c r="BI43" i="3"/>
  <c r="AP43" i="3"/>
  <c r="AO43" i="3"/>
  <c r="AQ43" i="3" s="1"/>
  <c r="AU43" i="3" s="1"/>
  <c r="AN43" i="3"/>
  <c r="CP42" i="3"/>
  <c r="CG42" i="3"/>
  <c r="CK42" i="3" s="1"/>
  <c r="CF42" i="3"/>
  <c r="CE42" i="3"/>
  <c r="CD42" i="3"/>
  <c r="BL42" i="3"/>
  <c r="BP42" i="3" s="1"/>
  <c r="BK42" i="3"/>
  <c r="BJ42" i="3"/>
  <c r="BI42" i="3"/>
  <c r="AP42" i="3"/>
  <c r="AO42" i="3"/>
  <c r="AQ42" i="3" s="1"/>
  <c r="AU42" i="3" s="1"/>
  <c r="AN42" i="3"/>
  <c r="CP41" i="3"/>
  <c r="CF41" i="3"/>
  <c r="CG41" i="3" s="1"/>
  <c r="CK41" i="3" s="1"/>
  <c r="CE41" i="3"/>
  <c r="CD41" i="3"/>
  <c r="BK41" i="3"/>
  <c r="BJ41" i="3"/>
  <c r="BL41" i="3" s="1"/>
  <c r="BP41" i="3" s="1"/>
  <c r="BI41" i="3"/>
  <c r="AP41" i="3"/>
  <c r="AO41" i="3"/>
  <c r="AQ41" i="3" s="1"/>
  <c r="AU41" i="3" s="1"/>
  <c r="AN41" i="3"/>
  <c r="CP40" i="3"/>
  <c r="CF40" i="3"/>
  <c r="CE40" i="3"/>
  <c r="CG40" i="3" s="1"/>
  <c r="CK40" i="3" s="1"/>
  <c r="CD40" i="3"/>
  <c r="BO40" i="3"/>
  <c r="BP40" i="3" s="1"/>
  <c r="BL40" i="3"/>
  <c r="BK40" i="3"/>
  <c r="BJ40" i="3"/>
  <c r="BI40" i="3"/>
  <c r="AP40" i="3"/>
  <c r="AO40" i="3"/>
  <c r="AQ40" i="3" s="1"/>
  <c r="AU40" i="3" s="1"/>
  <c r="AN40" i="3"/>
  <c r="CP39" i="3"/>
  <c r="CG39" i="3"/>
  <c r="CI39" i="3" s="1"/>
  <c r="CK39" i="3" s="1"/>
  <c r="CF39" i="3"/>
  <c r="CE39" i="3"/>
  <c r="BK39" i="3"/>
  <c r="BJ39" i="3"/>
  <c r="BL39" i="3" s="1"/>
  <c r="BO39" i="3" s="1"/>
  <c r="BP39" i="3" s="1"/>
  <c r="AP39" i="3"/>
  <c r="AO39" i="3"/>
  <c r="AQ39" i="3" s="1"/>
  <c r="AU39" i="3" s="1"/>
  <c r="CP38" i="3"/>
  <c r="CF38" i="3"/>
  <c r="CE38" i="3"/>
  <c r="CG38" i="3" s="1"/>
  <c r="CI38" i="3" s="1"/>
  <c r="CK38" i="3" s="1"/>
  <c r="BR38" i="3"/>
  <c r="BK38" i="3"/>
  <c r="BJ38" i="3"/>
  <c r="BL38" i="3" s="1"/>
  <c r="BN38" i="3" s="1"/>
  <c r="BP38" i="3" s="1"/>
  <c r="BQ38" i="3" s="1"/>
  <c r="AP38" i="3"/>
  <c r="AO38" i="3"/>
  <c r="AQ38" i="3" s="1"/>
  <c r="AS38" i="3" s="1"/>
  <c r="AU38" i="3" s="1"/>
  <c r="CP37" i="3"/>
  <c r="CM37" i="3"/>
  <c r="CF37" i="3"/>
  <c r="CE37" i="3"/>
  <c r="CG37" i="3" s="1"/>
  <c r="CI37" i="3" s="1"/>
  <c r="CK37" i="3" s="1"/>
  <c r="CL37" i="3" s="1"/>
  <c r="BK37" i="3"/>
  <c r="BJ37" i="3"/>
  <c r="AP37" i="3"/>
  <c r="AO37" i="3"/>
  <c r="AQ37" i="3" s="1"/>
  <c r="AS37" i="3" s="1"/>
  <c r="AU37" i="3" s="1"/>
  <c r="CP36" i="3"/>
  <c r="CF36" i="3"/>
  <c r="CG36" i="3" s="1"/>
  <c r="CK36" i="3" s="1"/>
  <c r="CE36" i="3"/>
  <c r="BK36" i="3"/>
  <c r="BJ36" i="3"/>
  <c r="BL36" i="3" s="1"/>
  <c r="BP36" i="3" s="1"/>
  <c r="AP36" i="3"/>
  <c r="AO36" i="3"/>
  <c r="AQ36" i="3" s="1"/>
  <c r="AU36" i="3" s="1"/>
  <c r="AW36" i="3" s="1"/>
  <c r="CP35" i="3"/>
  <c r="CF35" i="3"/>
  <c r="CE35" i="3"/>
  <c r="CG35" i="3" s="1"/>
  <c r="CI35" i="3" s="1"/>
  <c r="CK35" i="3" s="1"/>
  <c r="CL35" i="3" s="1"/>
  <c r="CD35" i="3"/>
  <c r="BK35" i="3"/>
  <c r="BJ35" i="3"/>
  <c r="BL35" i="3" s="1"/>
  <c r="BN35" i="3" s="1"/>
  <c r="BP35" i="3" s="1"/>
  <c r="BR35" i="3" s="1"/>
  <c r="BI35" i="3"/>
  <c r="AP35" i="3"/>
  <c r="AO35" i="3"/>
  <c r="AQ35" i="3" s="1"/>
  <c r="AS35" i="3" s="1"/>
  <c r="AT35" i="3" s="1"/>
  <c r="AU35" i="3" s="1"/>
  <c r="AV35" i="3" s="1"/>
  <c r="AN35" i="3"/>
  <c r="CP34" i="3"/>
  <c r="CF34" i="3"/>
  <c r="CG34" i="3" s="1"/>
  <c r="CK34" i="3" s="1"/>
  <c r="CE34" i="3"/>
  <c r="BK34" i="3"/>
  <c r="BJ34" i="3"/>
  <c r="BL34" i="3" s="1"/>
  <c r="BN34" i="3" s="1"/>
  <c r="BP34" i="3" s="1"/>
  <c r="BQ34" i="3" s="1"/>
  <c r="AW34" i="3"/>
  <c r="AP34" i="3"/>
  <c r="AO34" i="3"/>
  <c r="AQ34" i="3" s="1"/>
  <c r="AS34" i="3" s="1"/>
  <c r="AU34" i="3" s="1"/>
  <c r="AV34" i="3" s="1"/>
  <c r="CP33" i="3"/>
  <c r="CF33" i="3"/>
  <c r="CE33" i="3"/>
  <c r="CG33" i="3" s="1"/>
  <c r="CI33" i="3" s="1"/>
  <c r="CK33" i="3" s="1"/>
  <c r="BK33" i="3"/>
  <c r="BJ33" i="3"/>
  <c r="BL33" i="3" s="1"/>
  <c r="BN33" i="3" s="1"/>
  <c r="BP33" i="3" s="1"/>
  <c r="AP33" i="3"/>
  <c r="AO33" i="3"/>
  <c r="AQ33" i="3" s="1"/>
  <c r="AS33" i="3" s="1"/>
  <c r="AU33" i="3" s="1"/>
  <c r="CP32" i="3"/>
  <c r="CG32" i="3"/>
  <c r="CK32" i="3" s="1"/>
  <c r="CF32" i="3"/>
  <c r="CE32" i="3"/>
  <c r="CD32" i="3"/>
  <c r="BK32" i="3"/>
  <c r="BJ32" i="3"/>
  <c r="BL32" i="3" s="1"/>
  <c r="BN32" i="3" s="1"/>
  <c r="BP32" i="3" s="1"/>
  <c r="BI32" i="3"/>
  <c r="AP32" i="3"/>
  <c r="AO32" i="3"/>
  <c r="AQ32" i="3" s="1"/>
  <c r="AU32" i="3" s="1"/>
  <c r="AN32" i="3"/>
  <c r="CP31" i="3"/>
  <c r="CF31" i="3"/>
  <c r="CE31" i="3"/>
  <c r="CG31" i="3" s="1"/>
  <c r="CI31" i="3" s="1"/>
  <c r="CK31" i="3" s="1"/>
  <c r="BL31" i="3"/>
  <c r="BN31" i="3" s="1"/>
  <c r="BP31" i="3" s="1"/>
  <c r="BK31" i="3"/>
  <c r="BJ31" i="3"/>
  <c r="AQ31" i="3"/>
  <c r="AS31" i="3" s="1"/>
  <c r="AU31" i="3" s="1"/>
  <c r="AP31" i="3"/>
  <c r="AO31" i="3"/>
  <c r="CP30" i="3"/>
  <c r="CF30" i="3"/>
  <c r="CE30" i="3"/>
  <c r="CG30" i="3" s="1"/>
  <c r="CK30" i="3" s="1"/>
  <c r="CD30" i="3"/>
  <c r="BK30" i="3"/>
  <c r="BJ30" i="3"/>
  <c r="BL30" i="3" s="1"/>
  <c r="BN30" i="3" s="1"/>
  <c r="BP30" i="3" s="1"/>
  <c r="BI30" i="3"/>
  <c r="AP30" i="3"/>
  <c r="AQ30" i="3" s="1"/>
  <c r="AS30" i="3" s="1"/>
  <c r="AU30" i="3" s="1"/>
  <c r="AO30" i="3"/>
  <c r="AN30" i="3"/>
  <c r="CP29" i="3"/>
  <c r="CK29" i="3"/>
  <c r="CF29" i="3"/>
  <c r="CE29" i="3"/>
  <c r="CG29" i="3" s="1"/>
  <c r="CD29" i="3"/>
  <c r="BL29" i="3"/>
  <c r="BO29" i="3" s="1"/>
  <c r="BP29" i="3" s="1"/>
  <c r="BK29" i="3"/>
  <c r="BJ29" i="3"/>
  <c r="BI29" i="3"/>
  <c r="AQ29" i="3"/>
  <c r="AU29" i="3" s="1"/>
  <c r="AP29" i="3"/>
  <c r="AO29" i="3"/>
  <c r="AN29" i="3"/>
  <c r="CP28" i="3"/>
  <c r="CG28" i="3"/>
  <c r="CK28" i="3" s="1"/>
  <c r="CF28" i="3"/>
  <c r="CE28" i="3"/>
  <c r="CD28" i="3"/>
  <c r="BL28" i="3"/>
  <c r="BP28" i="3" s="1"/>
  <c r="BK28" i="3"/>
  <c r="BJ28" i="3"/>
  <c r="BI28" i="3"/>
  <c r="AP28" i="3"/>
  <c r="AO28" i="3"/>
  <c r="AQ28" i="3" s="1"/>
  <c r="AU28" i="3" s="1"/>
  <c r="AN28" i="3"/>
  <c r="CP27" i="3"/>
  <c r="CM27" i="3"/>
  <c r="CL27" i="3"/>
  <c r="CF27" i="3"/>
  <c r="CE27" i="3"/>
  <c r="CG27" i="3" s="1"/>
  <c r="CK27" i="3" s="1"/>
  <c r="CD27" i="3"/>
  <c r="BK27" i="3"/>
  <c r="BL27" i="3" s="1"/>
  <c r="BN27" i="3" s="1"/>
  <c r="BP27" i="3" s="1"/>
  <c r="BR27" i="3" s="1"/>
  <c r="BJ27" i="3"/>
  <c r="BI27" i="3"/>
  <c r="AP27" i="3"/>
  <c r="AQ27" i="3" s="1"/>
  <c r="AU27" i="3" s="1"/>
  <c r="AO27" i="3"/>
  <c r="AN27" i="3"/>
  <c r="CP26" i="3"/>
  <c r="CF26" i="3"/>
  <c r="CE26" i="3"/>
  <c r="CG26" i="3" s="1"/>
  <c r="CI26" i="3" s="1"/>
  <c r="CK26" i="3" s="1"/>
  <c r="BK26" i="3"/>
  <c r="BJ26" i="3"/>
  <c r="BL26" i="3" s="1"/>
  <c r="BN26" i="3" s="1"/>
  <c r="BP26" i="3" s="1"/>
  <c r="AP26" i="3"/>
  <c r="AQ26" i="3" s="1"/>
  <c r="AS26" i="3" s="1"/>
  <c r="AT26" i="3" s="1"/>
  <c r="AU26" i="3" s="1"/>
  <c r="AW26" i="3" s="1"/>
  <c r="AO26" i="3"/>
  <c r="CP25" i="3"/>
  <c r="CG25" i="3"/>
  <c r="CK25" i="3" s="1"/>
  <c r="CF25" i="3"/>
  <c r="CE25" i="3"/>
  <c r="CD25" i="3"/>
  <c r="BK25" i="3"/>
  <c r="BJ25" i="3"/>
  <c r="BL25" i="3" s="1"/>
  <c r="BP25" i="3" s="1"/>
  <c r="BI25" i="3"/>
  <c r="AP25" i="3"/>
  <c r="AO25" i="3"/>
  <c r="AQ25" i="3" s="1"/>
  <c r="AU25" i="3" s="1"/>
  <c r="AN25" i="3"/>
  <c r="CP24" i="3"/>
  <c r="CF24" i="3"/>
  <c r="CG24" i="3" s="1"/>
  <c r="CI24" i="3" s="1"/>
  <c r="CK24" i="3" s="1"/>
  <c r="CE24" i="3"/>
  <c r="BK24" i="3"/>
  <c r="BL24" i="3" s="1"/>
  <c r="BN24" i="3" s="1"/>
  <c r="BP24" i="3" s="1"/>
  <c r="BJ24" i="3"/>
  <c r="AP24" i="3"/>
  <c r="AO24" i="3"/>
  <c r="AQ24" i="3" s="1"/>
  <c r="AS24" i="3" s="1"/>
  <c r="AT24" i="3" s="1"/>
  <c r="AU24" i="3" s="1"/>
  <c r="CP23" i="3"/>
  <c r="CF23" i="3"/>
  <c r="CE23" i="3"/>
  <c r="CG23" i="3" s="1"/>
  <c r="CK23" i="3" s="1"/>
  <c r="CD23" i="3"/>
  <c r="BK23" i="3"/>
  <c r="BL23" i="3" s="1"/>
  <c r="BP23" i="3" s="1"/>
  <c r="BJ23" i="3"/>
  <c r="BI23" i="3"/>
  <c r="AP23" i="3"/>
  <c r="AO23" i="3"/>
  <c r="AQ23" i="3" s="1"/>
  <c r="AU23" i="3" s="1"/>
  <c r="AN23" i="3"/>
  <c r="CP22" i="3"/>
  <c r="CF22" i="3"/>
  <c r="CE22" i="3"/>
  <c r="CG22" i="3" s="1"/>
  <c r="CK22" i="3" s="1"/>
  <c r="CD22" i="3"/>
  <c r="BK22" i="3"/>
  <c r="BJ22" i="3"/>
  <c r="BL22" i="3" s="1"/>
  <c r="BP22" i="3" s="1"/>
  <c r="BQ22" i="3" s="1"/>
  <c r="BI22" i="3"/>
  <c r="AP22" i="3"/>
  <c r="AO22" i="3"/>
  <c r="AQ22" i="3" s="1"/>
  <c r="AT22" i="3" s="1"/>
  <c r="AU22" i="3" s="1"/>
  <c r="AV22" i="3" s="1"/>
  <c r="AN22" i="3"/>
  <c r="CP21" i="3"/>
  <c r="CF21" i="3"/>
  <c r="CE21" i="3"/>
  <c r="CG21" i="3" s="1"/>
  <c r="CK21" i="3" s="1"/>
  <c r="CD21" i="3"/>
  <c r="BK21" i="3"/>
  <c r="BJ21" i="3"/>
  <c r="BL21" i="3" s="1"/>
  <c r="BO21" i="3" s="1"/>
  <c r="BP21" i="3" s="1"/>
  <c r="BI21" i="3"/>
  <c r="AQ21" i="3"/>
  <c r="AU21" i="3" s="1"/>
  <c r="AP21" i="3"/>
  <c r="AO21" i="3"/>
  <c r="AN21" i="3"/>
  <c r="CP20" i="3"/>
  <c r="CF20" i="3"/>
  <c r="CG20" i="3" s="1"/>
  <c r="CI20" i="3" s="1"/>
  <c r="CK20" i="3" s="1"/>
  <c r="CE20" i="3"/>
  <c r="CD20" i="3"/>
  <c r="BK20" i="3"/>
  <c r="BL20" i="3" s="1"/>
  <c r="BN20" i="3" s="1"/>
  <c r="BP20" i="3" s="1"/>
  <c r="BJ20" i="3"/>
  <c r="BI20" i="3"/>
  <c r="AP20" i="3"/>
  <c r="AO20" i="3"/>
  <c r="AQ20" i="3" s="1"/>
  <c r="AS20" i="3" s="1"/>
  <c r="AU20" i="3" s="1"/>
  <c r="AN20" i="3"/>
  <c r="CP19" i="3"/>
  <c r="CF19" i="3"/>
  <c r="CE19" i="3"/>
  <c r="CG19" i="3" s="1"/>
  <c r="CI19" i="3" s="1"/>
  <c r="CK19" i="3" s="1"/>
  <c r="BL19" i="3"/>
  <c r="BN19" i="3" s="1"/>
  <c r="BP19" i="3" s="1"/>
  <c r="BK19" i="3"/>
  <c r="BJ19" i="3"/>
  <c r="AP19" i="3"/>
  <c r="AQ19" i="3" s="1"/>
  <c r="AS19" i="3" s="1"/>
  <c r="AU19" i="3" s="1"/>
  <c r="AO19" i="3"/>
  <c r="CP18" i="3"/>
  <c r="CF18" i="3"/>
  <c r="CE18" i="3"/>
  <c r="CG18" i="3" s="1"/>
  <c r="CK18" i="3" s="1"/>
  <c r="BK18" i="3"/>
  <c r="BJ18" i="3"/>
  <c r="BL18" i="3" s="1"/>
  <c r="BN18" i="3" s="1"/>
  <c r="BP18" i="3" s="1"/>
  <c r="AP18" i="3"/>
  <c r="AO18" i="3"/>
  <c r="AQ18" i="3" s="1"/>
  <c r="AS18" i="3" s="1"/>
  <c r="AU18" i="3" s="1"/>
  <c r="CP17" i="3"/>
  <c r="CF17" i="3"/>
  <c r="CE17" i="3"/>
  <c r="CG17" i="3" s="1"/>
  <c r="CI17" i="3" s="1"/>
  <c r="CK17" i="3" s="1"/>
  <c r="BK17" i="3"/>
  <c r="BJ17" i="3"/>
  <c r="BL17" i="3" s="1"/>
  <c r="BN17" i="3" s="1"/>
  <c r="BP17" i="3" s="1"/>
  <c r="AP17" i="3"/>
  <c r="AO17" i="3"/>
  <c r="AQ17" i="3" s="1"/>
  <c r="AS17" i="3" s="1"/>
  <c r="AU17" i="3" s="1"/>
  <c r="AV17" i="3" s="1"/>
  <c r="CP16" i="3"/>
  <c r="CF16" i="3"/>
  <c r="CE16" i="3"/>
  <c r="CG16" i="3" s="1"/>
  <c r="CK16" i="3" s="1"/>
  <c r="CD16" i="3"/>
  <c r="BK16" i="3"/>
  <c r="BJ16" i="3"/>
  <c r="BL16" i="3" s="1"/>
  <c r="BP16" i="3" s="1"/>
  <c r="BI16" i="3"/>
  <c r="AV16" i="3"/>
  <c r="AP16" i="3"/>
  <c r="AO16" i="3"/>
  <c r="AQ16" i="3" s="1"/>
  <c r="AT16" i="3" s="1"/>
  <c r="AU16" i="3" s="1"/>
  <c r="AW16" i="3" s="1"/>
  <c r="AN16" i="3"/>
  <c r="CP15" i="3"/>
  <c r="CF15" i="3"/>
  <c r="CE15" i="3"/>
  <c r="CG15" i="3" s="1"/>
  <c r="CK15" i="3" s="1"/>
  <c r="CD15" i="3"/>
  <c r="BK15" i="3"/>
  <c r="BJ15" i="3"/>
  <c r="BL15" i="3" s="1"/>
  <c r="BP15" i="3" s="1"/>
  <c r="BI15" i="3"/>
  <c r="AP15" i="3"/>
  <c r="AO15" i="3"/>
  <c r="AQ15" i="3" s="1"/>
  <c r="AU15" i="3" s="1"/>
  <c r="AN15" i="3"/>
  <c r="CP14" i="3"/>
  <c r="CF14" i="3"/>
  <c r="CE14" i="3"/>
  <c r="CG14" i="3" s="1"/>
  <c r="CK14" i="3" s="1"/>
  <c r="CL14" i="3" s="1"/>
  <c r="CD14" i="3"/>
  <c r="BK14" i="3"/>
  <c r="BJ14" i="3"/>
  <c r="BL14" i="3" s="1"/>
  <c r="BP14" i="3" s="1"/>
  <c r="BI14" i="3"/>
  <c r="AQ14" i="3"/>
  <c r="AU14" i="3" s="1"/>
  <c r="AP14" i="3"/>
  <c r="AO14" i="3"/>
  <c r="AN14" i="3"/>
  <c r="CP13" i="3"/>
  <c r="CK13" i="3"/>
  <c r="CM13" i="3" s="1"/>
  <c r="CF13" i="3"/>
  <c r="CE13" i="3"/>
  <c r="CG13" i="3" s="1"/>
  <c r="BK13" i="3"/>
  <c r="BJ13" i="3"/>
  <c r="BL13" i="3" s="1"/>
  <c r="BN13" i="3" s="1"/>
  <c r="BP13" i="3" s="1"/>
  <c r="AP13" i="3"/>
  <c r="AO13" i="3"/>
  <c r="AQ13" i="3" s="1"/>
  <c r="AU13" i="3" s="1"/>
  <c r="CP12" i="3"/>
  <c r="CF12" i="3"/>
  <c r="CE12" i="3"/>
  <c r="CG12" i="3" s="1"/>
  <c r="CI12" i="3" s="1"/>
  <c r="CK12" i="3" s="1"/>
  <c r="BK12" i="3"/>
  <c r="BJ12" i="3"/>
  <c r="BL12" i="3" s="1"/>
  <c r="BO12" i="3" s="1"/>
  <c r="BP12" i="3" s="1"/>
  <c r="AP12" i="3"/>
  <c r="AO12" i="3"/>
  <c r="AQ12" i="3" s="1"/>
  <c r="AU12" i="3" s="1"/>
  <c r="CP11" i="3"/>
  <c r="CF11" i="3"/>
  <c r="CE11" i="3"/>
  <c r="CG11" i="3" s="1"/>
  <c r="CK11" i="3" s="1"/>
  <c r="CD11" i="3"/>
  <c r="BK11" i="3"/>
  <c r="BJ11" i="3"/>
  <c r="BL11" i="3" s="1"/>
  <c r="BP11" i="3" s="1"/>
  <c r="BI11" i="3"/>
  <c r="AQ11" i="3"/>
  <c r="AU11" i="3" s="1"/>
  <c r="AP11" i="3"/>
  <c r="AO11" i="3"/>
  <c r="AN11" i="3"/>
  <c r="CP10" i="3"/>
  <c r="CF10" i="3"/>
  <c r="CG10" i="3" s="1"/>
  <c r="CK10" i="3" s="1"/>
  <c r="CL10" i="3" s="1"/>
  <c r="CE10" i="3"/>
  <c r="BK10" i="3"/>
  <c r="BJ10" i="3"/>
  <c r="BL10" i="3" s="1"/>
  <c r="BN10" i="3" s="1"/>
  <c r="BP10" i="3" s="1"/>
  <c r="BR10" i="3" s="1"/>
  <c r="AQ10" i="3"/>
  <c r="AS10" i="3" s="1"/>
  <c r="AU10" i="3" s="1"/>
  <c r="AW10" i="3" s="1"/>
  <c r="AP10" i="3"/>
  <c r="AO10" i="3"/>
  <c r="CP9" i="3"/>
  <c r="CF9" i="3"/>
  <c r="CE9" i="3"/>
  <c r="CG9" i="3" s="1"/>
  <c r="CK9" i="3" s="1"/>
  <c r="CD9" i="3"/>
  <c r="BL9" i="3"/>
  <c r="BP9" i="3" s="1"/>
  <c r="BK9" i="3"/>
  <c r="BJ9" i="3"/>
  <c r="BI9" i="3"/>
  <c r="AQ9" i="3"/>
  <c r="AU9" i="3" s="1"/>
  <c r="AP9" i="3"/>
  <c r="AO9" i="3"/>
  <c r="AN9" i="3"/>
  <c r="CP8" i="3"/>
  <c r="CG8" i="3"/>
  <c r="CI8" i="3" s="1"/>
  <c r="CK8" i="3" s="1"/>
  <c r="CF8" i="3"/>
  <c r="CE8" i="3"/>
  <c r="CD8" i="3"/>
  <c r="BL8" i="3"/>
  <c r="BN8" i="3" s="1"/>
  <c r="BP8" i="3" s="1"/>
  <c r="BK8" i="3"/>
  <c r="BJ8" i="3"/>
  <c r="BI8" i="3"/>
  <c r="AP8" i="3"/>
  <c r="AO8" i="3"/>
  <c r="AQ8" i="3" s="1"/>
  <c r="AU8" i="3" s="1"/>
  <c r="AN8" i="3"/>
  <c r="CP7" i="3"/>
  <c r="CG7" i="3"/>
  <c r="CK7" i="3" s="1"/>
  <c r="CF7" i="3"/>
  <c r="CE7" i="3"/>
  <c r="CD7" i="3"/>
  <c r="BK7" i="3"/>
  <c r="BJ7" i="3"/>
  <c r="BL7" i="3" s="1"/>
  <c r="BP7" i="3" s="1"/>
  <c r="BI7" i="3"/>
  <c r="AQ7" i="3"/>
  <c r="AT7" i="3" s="1"/>
  <c r="AU7" i="3" s="1"/>
  <c r="AP7" i="3"/>
  <c r="AO7" i="3"/>
  <c r="AN7" i="3"/>
  <c r="CP6" i="3"/>
  <c r="CK6" i="3"/>
  <c r="CG6" i="3"/>
  <c r="CF6" i="3"/>
  <c r="CE6" i="3"/>
  <c r="CD6" i="3"/>
  <c r="BK6" i="3"/>
  <c r="BL6" i="3" s="1"/>
  <c r="BP6" i="3" s="1"/>
  <c r="BJ6" i="3"/>
  <c r="BI6" i="3"/>
  <c r="AP6" i="3"/>
  <c r="AO6" i="3"/>
  <c r="AQ6" i="3" s="1"/>
  <c r="AU6" i="3" s="1"/>
  <c r="AN6" i="3"/>
  <c r="CP5" i="3"/>
  <c r="CF5" i="3"/>
  <c r="CE5" i="3"/>
  <c r="CG5" i="3" s="1"/>
  <c r="CI5" i="3" s="1"/>
  <c r="CK5" i="3" s="1"/>
  <c r="BK5" i="3"/>
  <c r="BJ5" i="3"/>
  <c r="BL5" i="3" s="1"/>
  <c r="BN5" i="3" s="1"/>
  <c r="BP5" i="3" s="1"/>
  <c r="AP5" i="3"/>
  <c r="AO5" i="3"/>
  <c r="AQ5" i="3" s="1"/>
  <c r="AS5" i="3" s="1"/>
  <c r="AU5" i="3" s="1"/>
  <c r="CP4" i="3"/>
  <c r="CF4" i="3"/>
  <c r="CE4" i="3"/>
  <c r="CG4" i="3" s="1"/>
  <c r="CI4" i="3" s="1"/>
  <c r="CK4" i="3" s="1"/>
  <c r="BK4" i="3"/>
  <c r="BJ4" i="3"/>
  <c r="BL4" i="3" s="1"/>
  <c r="BN4" i="3" s="1"/>
  <c r="BP4" i="3" s="1"/>
  <c r="AP4" i="3"/>
  <c r="AO4" i="3"/>
  <c r="AQ4" i="3" s="1"/>
  <c r="AU4" i="3" s="1"/>
  <c r="CP3" i="3"/>
  <c r="CF3" i="3"/>
  <c r="CE3" i="3"/>
  <c r="CG3" i="3" s="1"/>
  <c r="CK3" i="3" s="1"/>
  <c r="CD3" i="3"/>
  <c r="BP3" i="3"/>
  <c r="BK3" i="3"/>
  <c r="BJ3" i="3"/>
  <c r="BL3" i="3" s="1"/>
  <c r="BI3" i="3"/>
  <c r="AQ3" i="3"/>
  <c r="AT3" i="3" s="1"/>
  <c r="AU3" i="3" s="1"/>
  <c r="AP3" i="3"/>
  <c r="AO3" i="3"/>
  <c r="AN3" i="3"/>
  <c r="CP2" i="3"/>
  <c r="CF2" i="3"/>
  <c r="CE2" i="3"/>
  <c r="CG2" i="3" s="1"/>
  <c r="CK2" i="3" s="1"/>
  <c r="CD2" i="3"/>
  <c r="BR2" i="3"/>
  <c r="BQ2" i="3"/>
  <c r="BP2" i="3"/>
  <c r="BL2" i="3"/>
  <c r="BK2" i="3"/>
  <c r="BJ2" i="3"/>
  <c r="BI2" i="3"/>
  <c r="AS2" i="3"/>
  <c r="AU2" i="3" s="1"/>
  <c r="AP2" i="3"/>
  <c r="AO2" i="3"/>
  <c r="AQ2" i="3" s="1"/>
  <c r="AN2" i="3"/>
  <c r="CF24" i="1"/>
  <c r="CF7" i="1"/>
  <c r="CF26" i="1"/>
  <c r="CF18" i="1"/>
  <c r="CF29" i="1"/>
  <c r="CF6" i="1"/>
  <c r="CF5" i="1"/>
  <c r="CF30" i="1"/>
  <c r="CF37" i="1"/>
  <c r="CF3" i="1"/>
  <c r="CF51" i="1"/>
  <c r="CF42" i="1"/>
  <c r="CF52" i="1"/>
  <c r="CF10" i="1"/>
  <c r="CF8" i="1"/>
  <c r="CF22" i="1"/>
  <c r="CF35" i="1"/>
  <c r="CF32" i="1"/>
  <c r="CF17" i="1"/>
  <c r="CF27" i="1"/>
  <c r="CF47" i="1"/>
  <c r="CF56" i="1"/>
  <c r="CF23" i="1"/>
  <c r="CF43" i="1"/>
  <c r="CF38" i="1"/>
  <c r="CF15" i="1"/>
  <c r="CF39" i="1"/>
  <c r="CF55" i="1"/>
  <c r="CF50" i="1"/>
  <c r="CF9" i="1"/>
  <c r="CF33" i="1"/>
  <c r="CF57" i="1"/>
  <c r="CF14" i="1"/>
  <c r="CF2" i="1"/>
  <c r="CF34" i="1"/>
  <c r="CF21" i="1"/>
  <c r="CF28" i="1"/>
  <c r="CF4" i="1"/>
  <c r="CF12" i="1"/>
  <c r="CF16" i="1"/>
  <c r="CF11" i="1"/>
  <c r="CF20" i="1"/>
  <c r="CF36" i="1"/>
  <c r="CF54" i="1"/>
  <c r="CF45" i="1"/>
  <c r="CF41" i="1"/>
  <c r="CF19" i="1"/>
  <c r="CF53" i="1"/>
  <c r="CF25" i="1"/>
  <c r="CF31" i="1"/>
  <c r="CF48" i="1"/>
  <c r="CF46" i="1"/>
  <c r="CF49" i="1"/>
  <c r="CF13" i="1"/>
  <c r="CF44" i="1"/>
  <c r="CF40" i="1"/>
  <c r="AP24" i="1"/>
  <c r="AP7" i="1"/>
  <c r="AP26" i="1"/>
  <c r="AP18" i="1"/>
  <c r="AP29" i="1"/>
  <c r="AP6" i="1"/>
  <c r="AP5" i="1"/>
  <c r="AP30" i="1"/>
  <c r="AP37" i="1"/>
  <c r="AP3" i="1"/>
  <c r="AP51" i="1"/>
  <c r="AP42" i="1"/>
  <c r="AP52" i="1"/>
  <c r="AP10" i="1"/>
  <c r="AP8" i="1"/>
  <c r="AP22" i="1"/>
  <c r="AP35" i="1"/>
  <c r="AP32" i="1"/>
  <c r="AP17" i="1"/>
  <c r="AP27" i="1"/>
  <c r="AP47" i="1"/>
  <c r="AP56" i="1"/>
  <c r="AP23" i="1"/>
  <c r="AP43" i="1"/>
  <c r="AP38" i="1"/>
  <c r="AP15" i="1"/>
  <c r="AP39" i="1"/>
  <c r="AP55" i="1"/>
  <c r="AP50" i="1"/>
  <c r="AP9" i="1"/>
  <c r="AP33" i="1"/>
  <c r="AP57" i="1"/>
  <c r="AP14" i="1"/>
  <c r="AP2" i="1"/>
  <c r="AP34" i="1"/>
  <c r="AP21" i="1"/>
  <c r="AP28" i="1"/>
  <c r="AP4" i="1"/>
  <c r="AP12" i="1"/>
  <c r="AP16" i="1"/>
  <c r="AP11" i="1"/>
  <c r="AP20" i="1"/>
  <c r="AP36" i="1"/>
  <c r="AP54" i="1"/>
  <c r="AP45" i="1"/>
  <c r="AP41" i="1"/>
  <c r="AP19" i="1"/>
  <c r="AP53" i="1"/>
  <c r="AP25" i="1"/>
  <c r="AP31" i="1"/>
  <c r="AP48" i="1"/>
  <c r="AP46" i="1"/>
  <c r="AP49" i="1"/>
  <c r="AP13" i="1"/>
  <c r="AP44" i="1"/>
  <c r="AP40" i="1"/>
  <c r="AO24" i="1"/>
  <c r="AO7" i="1"/>
  <c r="AO26" i="1"/>
  <c r="AO18" i="1"/>
  <c r="AO29" i="1"/>
  <c r="AO6" i="1"/>
  <c r="AO5" i="1"/>
  <c r="AO30" i="1"/>
  <c r="AO37" i="1"/>
  <c r="AO3" i="1"/>
  <c r="AO51" i="1"/>
  <c r="AO42" i="1"/>
  <c r="AO52" i="1"/>
  <c r="AO10" i="1"/>
  <c r="AO8" i="1"/>
  <c r="AO22" i="1"/>
  <c r="AO35" i="1"/>
  <c r="AO32" i="1"/>
  <c r="AO17" i="1"/>
  <c r="AO27" i="1"/>
  <c r="AO47" i="1"/>
  <c r="AO56" i="1"/>
  <c r="AO23" i="1"/>
  <c r="AO43" i="1"/>
  <c r="AO38" i="1"/>
  <c r="AO15" i="1"/>
  <c r="AO39" i="1"/>
  <c r="AO55" i="1"/>
  <c r="AO50" i="1"/>
  <c r="AO9" i="1"/>
  <c r="AO33" i="1"/>
  <c r="AO57" i="1"/>
  <c r="AO14" i="1"/>
  <c r="AO2" i="1"/>
  <c r="AO34" i="1"/>
  <c r="AO21" i="1"/>
  <c r="AO28" i="1"/>
  <c r="AO4" i="1"/>
  <c r="AO12" i="1"/>
  <c r="AO16" i="1"/>
  <c r="AO11" i="1"/>
  <c r="AO20" i="1"/>
  <c r="AO36" i="1"/>
  <c r="AO54" i="1"/>
  <c r="AO45" i="1"/>
  <c r="AO41" i="1"/>
  <c r="AO19" i="1"/>
  <c r="AO53" i="1"/>
  <c r="AO25" i="1"/>
  <c r="AO31" i="1"/>
  <c r="AO48" i="1"/>
  <c r="AO46" i="1"/>
  <c r="AO49" i="1"/>
  <c r="AO13" i="1"/>
  <c r="AO44" i="1"/>
  <c r="AO40" i="1"/>
  <c r="CE24" i="1"/>
  <c r="CE7" i="1"/>
  <c r="CE26" i="1"/>
  <c r="CE18" i="1"/>
  <c r="CE29" i="1"/>
  <c r="CE6" i="1"/>
  <c r="CE5" i="1"/>
  <c r="CE30" i="1"/>
  <c r="CE37" i="1"/>
  <c r="CE3" i="1"/>
  <c r="CE51" i="1"/>
  <c r="CE42" i="1"/>
  <c r="CE52" i="1"/>
  <c r="CE10" i="1"/>
  <c r="CE8" i="1"/>
  <c r="CE22" i="1"/>
  <c r="CE35" i="1"/>
  <c r="CE32" i="1"/>
  <c r="CE17" i="1"/>
  <c r="CE27" i="1"/>
  <c r="CE47" i="1"/>
  <c r="CE56" i="1"/>
  <c r="CE23" i="1"/>
  <c r="CE43" i="1"/>
  <c r="CE38" i="1"/>
  <c r="CE15" i="1"/>
  <c r="CE39" i="1"/>
  <c r="CE55" i="1"/>
  <c r="CE50" i="1"/>
  <c r="CE9" i="1"/>
  <c r="CE33" i="1"/>
  <c r="CE57" i="1"/>
  <c r="CE14" i="1"/>
  <c r="CE2" i="1"/>
  <c r="CE34" i="1"/>
  <c r="CE21" i="1"/>
  <c r="CE28" i="1"/>
  <c r="CE4" i="1"/>
  <c r="CE12" i="1"/>
  <c r="CE16" i="1"/>
  <c r="CE11" i="1"/>
  <c r="CE20" i="1"/>
  <c r="CE36" i="1"/>
  <c r="CE54" i="1"/>
  <c r="CE45" i="1"/>
  <c r="CE41" i="1"/>
  <c r="CE19" i="1"/>
  <c r="CE53" i="1"/>
  <c r="CE25" i="1"/>
  <c r="CE31" i="1"/>
  <c r="CE48" i="1"/>
  <c r="CE46" i="1"/>
  <c r="CE49" i="1"/>
  <c r="CE13" i="1"/>
  <c r="CE44" i="1"/>
  <c r="CE40" i="1"/>
  <c r="BK24" i="1"/>
  <c r="BK7" i="1"/>
  <c r="BK26" i="1"/>
  <c r="BK18" i="1"/>
  <c r="BK29" i="1"/>
  <c r="BK6" i="1"/>
  <c r="BK5" i="1"/>
  <c r="BK30" i="1"/>
  <c r="BK37" i="1"/>
  <c r="BK3" i="1"/>
  <c r="BK51" i="1"/>
  <c r="BK42" i="1"/>
  <c r="BK52" i="1"/>
  <c r="BK10" i="1"/>
  <c r="BK8" i="1"/>
  <c r="BK22" i="1"/>
  <c r="BK35" i="1"/>
  <c r="BK32" i="1"/>
  <c r="BK17" i="1"/>
  <c r="BK27" i="1"/>
  <c r="BK47" i="1"/>
  <c r="BK56" i="1"/>
  <c r="BK23" i="1"/>
  <c r="BK43" i="1"/>
  <c r="BK38" i="1"/>
  <c r="BK15" i="1"/>
  <c r="BK39" i="1"/>
  <c r="BK55" i="1"/>
  <c r="BK50" i="1"/>
  <c r="BK9" i="1"/>
  <c r="BK33" i="1"/>
  <c r="BK57" i="1"/>
  <c r="BK14" i="1"/>
  <c r="BK2" i="1"/>
  <c r="BK34" i="1"/>
  <c r="BK21" i="1"/>
  <c r="BK28" i="1"/>
  <c r="BK4" i="1"/>
  <c r="BK12" i="1"/>
  <c r="BK16" i="1"/>
  <c r="BK11" i="1"/>
  <c r="BK20" i="1"/>
  <c r="BK36" i="1"/>
  <c r="BK54" i="1"/>
  <c r="BK45" i="1"/>
  <c r="BK41" i="1"/>
  <c r="BK19" i="1"/>
  <c r="BK53" i="1"/>
  <c r="BK25" i="1"/>
  <c r="BK31" i="1"/>
  <c r="BK48" i="1"/>
  <c r="BK46" i="1"/>
  <c r="BK49" i="1"/>
  <c r="BK13" i="1"/>
  <c r="BK44" i="1"/>
  <c r="BK40" i="1"/>
  <c r="BJ24" i="1"/>
  <c r="BJ7" i="1"/>
  <c r="BJ26" i="1"/>
  <c r="BJ18" i="1"/>
  <c r="BJ29" i="1"/>
  <c r="BJ6" i="1"/>
  <c r="BJ5" i="1"/>
  <c r="BJ30" i="1"/>
  <c r="BJ37" i="1"/>
  <c r="BJ3" i="1"/>
  <c r="BJ51" i="1"/>
  <c r="BJ42" i="1"/>
  <c r="BJ52" i="1"/>
  <c r="BJ10" i="1"/>
  <c r="BJ8" i="1"/>
  <c r="BJ22" i="1"/>
  <c r="BJ35" i="1"/>
  <c r="BJ32" i="1"/>
  <c r="BJ17" i="1"/>
  <c r="BJ27" i="1"/>
  <c r="BJ47" i="1"/>
  <c r="BJ56" i="1"/>
  <c r="BJ23" i="1"/>
  <c r="BJ43" i="1"/>
  <c r="BJ38" i="1"/>
  <c r="BJ15" i="1"/>
  <c r="BJ39" i="1"/>
  <c r="BJ55" i="1"/>
  <c r="BJ50" i="1"/>
  <c r="BJ9" i="1"/>
  <c r="BJ33" i="1"/>
  <c r="BJ57" i="1"/>
  <c r="BJ14" i="1"/>
  <c r="BJ2" i="1"/>
  <c r="BJ34" i="1"/>
  <c r="BJ21" i="1"/>
  <c r="BJ28" i="1"/>
  <c r="BJ4" i="1"/>
  <c r="BJ12" i="1"/>
  <c r="BJ16" i="1"/>
  <c r="BJ11" i="1"/>
  <c r="BJ20" i="1"/>
  <c r="BJ36" i="1"/>
  <c r="BJ54" i="1"/>
  <c r="BJ45" i="1"/>
  <c r="BJ41" i="1"/>
  <c r="BJ19" i="1"/>
  <c r="BJ53" i="1"/>
  <c r="BJ25" i="1"/>
  <c r="BJ31" i="1"/>
  <c r="BJ48" i="1"/>
  <c r="BJ46" i="1"/>
  <c r="BJ49" i="1"/>
  <c r="BJ13" i="1"/>
  <c r="BJ44" i="1"/>
  <c r="BJ40" i="1"/>
  <c r="CP27" i="1"/>
  <c r="CP9" i="1"/>
  <c r="CP21" i="1"/>
  <c r="CP45" i="1"/>
  <c r="CP36" i="1"/>
  <c r="CP22" i="1"/>
  <c r="CP23" i="1"/>
  <c r="CP32" i="1"/>
  <c r="CP42" i="1"/>
  <c r="CP46" i="1"/>
  <c r="CP53" i="1"/>
  <c r="CP51" i="1"/>
  <c r="CP35" i="1"/>
  <c r="CP2" i="1"/>
  <c r="CP18" i="1"/>
  <c r="CP17" i="1"/>
  <c r="CP12" i="1"/>
  <c r="CP37" i="1"/>
  <c r="CP31" i="1"/>
  <c r="CP24" i="1"/>
  <c r="CP44" i="1"/>
  <c r="CP10" i="1"/>
  <c r="CP19" i="1"/>
  <c r="CP29" i="1"/>
  <c r="CP54" i="1"/>
  <c r="CP52" i="1"/>
  <c r="CP7" i="1"/>
  <c r="CP25" i="1"/>
  <c r="CP13" i="1"/>
  <c r="CP6" i="1"/>
  <c r="CP40" i="1"/>
  <c r="CP8" i="1"/>
  <c r="CP11" i="1"/>
  <c r="CP16" i="1"/>
  <c r="CP47" i="1"/>
  <c r="CP30" i="1"/>
  <c r="CP20" i="1"/>
  <c r="CP48" i="1"/>
  <c r="CP38" i="1"/>
  <c r="CP50" i="1"/>
  <c r="CP26" i="1"/>
  <c r="CP57" i="1"/>
  <c r="CP34" i="1"/>
  <c r="CP49" i="1"/>
  <c r="CP39" i="1"/>
  <c r="CP33" i="1"/>
  <c r="CP5" i="1"/>
  <c r="CP56" i="1"/>
  <c r="CP41" i="1"/>
  <c r="CP43" i="1"/>
  <c r="CP14" i="1"/>
  <c r="CP55" i="1"/>
  <c r="CP4" i="1"/>
  <c r="CP15" i="1"/>
  <c r="CP3" i="1"/>
  <c r="CP28" i="1"/>
  <c r="CD3" i="1"/>
  <c r="CD15" i="1"/>
  <c r="CD55" i="1"/>
  <c r="CD14" i="1"/>
  <c r="CD43" i="1"/>
  <c r="CD41" i="1"/>
  <c r="CD56" i="1"/>
  <c r="CD48" i="1"/>
  <c r="CD20" i="1"/>
  <c r="CD30" i="1"/>
  <c r="CD16" i="1"/>
  <c r="CD11" i="1"/>
  <c r="CD8" i="1"/>
  <c r="CD40" i="1"/>
  <c r="CD6" i="1"/>
  <c r="CD25" i="1"/>
  <c r="CD7" i="1"/>
  <c r="CD52" i="1"/>
  <c r="CD54" i="1"/>
  <c r="CD29" i="1"/>
  <c r="CD2" i="1"/>
  <c r="CD35" i="1"/>
  <c r="CD51" i="1"/>
  <c r="CD46" i="1"/>
  <c r="CD42" i="1"/>
  <c r="CD32" i="1"/>
  <c r="CD23" i="1"/>
  <c r="CD22" i="1"/>
  <c r="CD45" i="1"/>
  <c r="CD21" i="1"/>
  <c r="CD9" i="1"/>
  <c r="CD27" i="1"/>
  <c r="CD28" i="1"/>
  <c r="BI3" i="1"/>
  <c r="BI15" i="1"/>
  <c r="BI55" i="1"/>
  <c r="BI14" i="1"/>
  <c r="BI43" i="1"/>
  <c r="BI41" i="1"/>
  <c r="BI56" i="1"/>
  <c r="BI48" i="1"/>
  <c r="BI20" i="1"/>
  <c r="BI30" i="1"/>
  <c r="BI16" i="1"/>
  <c r="BI11" i="1"/>
  <c r="BI8" i="1"/>
  <c r="BI40" i="1"/>
  <c r="BI6" i="1"/>
  <c r="BI25" i="1"/>
  <c r="BI7" i="1"/>
  <c r="BI52" i="1"/>
  <c r="BI54" i="1"/>
  <c r="BI29" i="1"/>
  <c r="BI2" i="1"/>
  <c r="BI35" i="1"/>
  <c r="BI51" i="1"/>
  <c r="BI46" i="1"/>
  <c r="BI42" i="1"/>
  <c r="BI32" i="1"/>
  <c r="BI23" i="1"/>
  <c r="BI22" i="1"/>
  <c r="BI45" i="1"/>
  <c r="BI21" i="1"/>
  <c r="BI9" i="1"/>
  <c r="BI27" i="1"/>
  <c r="BI28" i="1"/>
  <c r="AN3" i="1"/>
  <c r="AN15" i="1"/>
  <c r="AN55" i="1"/>
  <c r="AN14" i="1"/>
  <c r="AN43" i="1"/>
  <c r="AN41" i="1"/>
  <c r="AN56" i="1"/>
  <c r="AN48" i="1"/>
  <c r="AN20" i="1"/>
  <c r="AN30" i="1"/>
  <c r="AN16" i="1"/>
  <c r="AN11" i="1"/>
  <c r="AN8" i="1"/>
  <c r="AN40" i="1"/>
  <c r="AN6" i="1"/>
  <c r="AN25" i="1"/>
  <c r="AN7" i="1"/>
  <c r="AN52" i="1"/>
  <c r="AN54" i="1"/>
  <c r="AN29" i="1"/>
  <c r="AN2" i="1"/>
  <c r="AN35" i="1"/>
  <c r="AN51" i="1"/>
  <c r="AN46" i="1"/>
  <c r="AN42" i="1"/>
  <c r="AN32" i="1"/>
  <c r="AN23" i="1"/>
  <c r="AN22" i="1"/>
  <c r="AN45" i="1"/>
  <c r="AN27" i="1"/>
  <c r="AN9" i="1"/>
  <c r="AN21" i="1"/>
  <c r="AN28" i="1"/>
  <c r="BR14" i="3" l="1"/>
  <c r="BQ14" i="3"/>
  <c r="BR21" i="3"/>
  <c r="BQ21" i="3"/>
  <c r="AW28" i="3"/>
  <c r="AV28" i="3"/>
  <c r="CM47" i="3"/>
  <c r="CL47" i="3"/>
  <c r="AW18" i="3"/>
  <c r="AV18" i="3"/>
  <c r="AW25" i="3"/>
  <c r="AV25" i="3"/>
  <c r="AW51" i="3"/>
  <c r="AV51" i="3"/>
  <c r="CM34" i="3"/>
  <c r="CL34" i="3"/>
  <c r="CM38" i="3"/>
  <c r="K38" i="3" s="1"/>
  <c r="CL38" i="3"/>
  <c r="BR54" i="3"/>
  <c r="BQ54" i="3"/>
  <c r="BQ5" i="3"/>
  <c r="BR5" i="3"/>
  <c r="BR51" i="3"/>
  <c r="BQ51" i="3"/>
  <c r="AW42" i="3"/>
  <c r="AV42" i="3"/>
  <c r="CM5" i="3"/>
  <c r="CL5" i="3"/>
  <c r="CM18" i="3"/>
  <c r="CL18" i="3"/>
  <c r="AW39" i="3"/>
  <c r="K39" i="3" s="1"/>
  <c r="AV39" i="3"/>
  <c r="BR31" i="3"/>
  <c r="BQ31" i="3"/>
  <c r="CM31" i="3"/>
  <c r="CL31" i="3"/>
  <c r="CM45" i="3"/>
  <c r="CL45" i="3"/>
  <c r="CM8" i="3"/>
  <c r="CL8" i="3"/>
  <c r="AW49" i="3"/>
  <c r="AV49" i="3"/>
  <c r="CM15" i="3"/>
  <c r="CL15" i="3"/>
  <c r="BR19" i="3"/>
  <c r="BQ19" i="3"/>
  <c r="CL22" i="3"/>
  <c r="CM22" i="3"/>
  <c r="AW46" i="3"/>
  <c r="K46" i="3" s="1"/>
  <c r="AV46" i="3"/>
  <c r="BR12" i="3"/>
  <c r="BQ12" i="3"/>
  <c r="CM19" i="3"/>
  <c r="CL19" i="3"/>
  <c r="BR26" i="3"/>
  <c r="K26" i="3" s="1"/>
  <c r="BQ26" i="3"/>
  <c r="CM42" i="3"/>
  <c r="CL42" i="3"/>
  <c r="CM12" i="3"/>
  <c r="CL12" i="3"/>
  <c r="CM26" i="3"/>
  <c r="CL26" i="3"/>
  <c r="BR29" i="3"/>
  <c r="BQ29" i="3"/>
  <c r="CM32" i="3"/>
  <c r="CL32" i="3"/>
  <c r="BR23" i="3"/>
  <c r="BQ23" i="3"/>
  <c r="BQ40" i="3"/>
  <c r="BR40" i="3"/>
  <c r="CL52" i="3"/>
  <c r="CM52" i="3"/>
  <c r="CM40" i="3"/>
  <c r="CL40" i="3"/>
  <c r="CM43" i="3"/>
  <c r="CL43" i="3"/>
  <c r="CM3" i="3"/>
  <c r="CL3" i="3"/>
  <c r="AV7" i="3"/>
  <c r="AW7" i="3"/>
  <c r="BR33" i="3"/>
  <c r="K33" i="3" s="1"/>
  <c r="BQ33" i="3"/>
  <c r="BR7" i="3"/>
  <c r="BQ7" i="3"/>
  <c r="AW30" i="3"/>
  <c r="K30" i="3" s="1"/>
  <c r="AV30" i="3"/>
  <c r="K10" i="3"/>
  <c r="CM56" i="3"/>
  <c r="CL56" i="3"/>
  <c r="AW44" i="3"/>
  <c r="K44" i="3" s="1"/>
  <c r="AV44" i="3"/>
  <c r="BR17" i="3"/>
  <c r="BQ17" i="3"/>
  <c r="AW14" i="3"/>
  <c r="AV14" i="3"/>
  <c r="AW21" i="3"/>
  <c r="AV21" i="3"/>
  <c r="CM4" i="3"/>
  <c r="CL4" i="3"/>
  <c r="CM24" i="3"/>
  <c r="CL24" i="3"/>
  <c r="CL50" i="3"/>
  <c r="CM50" i="3"/>
  <c r="CM30" i="3"/>
  <c r="CL30" i="3"/>
  <c r="BR28" i="3"/>
  <c r="BQ28" i="3"/>
  <c r="AW3" i="3"/>
  <c r="AV3" i="3"/>
  <c r="CM9" i="3"/>
  <c r="CL9" i="3"/>
  <c r="BR48" i="3"/>
  <c r="BQ48" i="3"/>
  <c r="CM35" i="3"/>
  <c r="AW56" i="3"/>
  <c r="AV56" i="3"/>
  <c r="AW17" i="3"/>
  <c r="CM28" i="3"/>
  <c r="CL28" i="3"/>
  <c r="AW31" i="3"/>
  <c r="K31" i="3" s="1"/>
  <c r="AV31" i="3"/>
  <c r="CL48" i="3"/>
  <c r="CM48" i="3"/>
  <c r="BR3" i="3"/>
  <c r="BQ3" i="3"/>
  <c r="BR41" i="3"/>
  <c r="BQ41" i="3"/>
  <c r="AV10" i="3"/>
  <c r="AV36" i="3"/>
  <c r="AW15" i="3"/>
  <c r="AV15" i="3"/>
  <c r="CL17" i="3"/>
  <c r="CM17" i="3"/>
  <c r="AW22" i="3"/>
  <c r="CM33" i="3"/>
  <c r="CL33" i="3"/>
  <c r="BQ56" i="3"/>
  <c r="AW29" i="3"/>
  <c r="AV29" i="3"/>
  <c r="BR36" i="3"/>
  <c r="BQ36" i="3"/>
  <c r="AV6" i="3"/>
  <c r="AW6" i="3"/>
  <c r="K6" i="3" s="1"/>
  <c r="CM41" i="3"/>
  <c r="CL41" i="3"/>
  <c r="CM51" i="3"/>
  <c r="CL51" i="3"/>
  <c r="BQ10" i="3"/>
  <c r="BQ15" i="3"/>
  <c r="BR15" i="3"/>
  <c r="AV20" i="3"/>
  <c r="AW20" i="3"/>
  <c r="K20" i="3" s="1"/>
  <c r="BR39" i="3"/>
  <c r="BQ39" i="3"/>
  <c r="BR22" i="3"/>
  <c r="CM36" i="3"/>
  <c r="K36" i="3" s="1"/>
  <c r="CL36" i="3"/>
  <c r="AW13" i="3"/>
  <c r="K13" i="3" s="1"/>
  <c r="AV13" i="3"/>
  <c r="BR44" i="3"/>
  <c r="BQ44" i="3"/>
  <c r="BR49" i="3"/>
  <c r="BQ49" i="3"/>
  <c r="BR8" i="3"/>
  <c r="K8" i="3" s="1"/>
  <c r="BQ8" i="3"/>
  <c r="CM10" i="3"/>
  <c r="AW47" i="3"/>
  <c r="K47" i="3" s="1"/>
  <c r="AV47" i="3"/>
  <c r="BR13" i="3"/>
  <c r="BQ13" i="3"/>
  <c r="CM44" i="3"/>
  <c r="CL44" i="3"/>
  <c r="BQ27" i="3"/>
  <c r="BR34" i="3"/>
  <c r="K34" i="3" s="1"/>
  <c r="AW57" i="3"/>
  <c r="AV57" i="3"/>
  <c r="BR55" i="3"/>
  <c r="K55" i="3" s="1"/>
  <c r="BQ55" i="3"/>
  <c r="CM2" i="3"/>
  <c r="CL2" i="3"/>
  <c r="CM23" i="3"/>
  <c r="CL23" i="3"/>
  <c r="BR43" i="3"/>
  <c r="BQ43" i="3"/>
  <c r="AW2" i="3"/>
  <c r="K2" i="3" s="1"/>
  <c r="AV2" i="3"/>
  <c r="BR4" i="3"/>
  <c r="K4" i="3" s="1"/>
  <c r="BQ4" i="3"/>
  <c r="BR18" i="3"/>
  <c r="BQ18" i="3"/>
  <c r="CL20" i="3"/>
  <c r="CM20" i="3"/>
  <c r="BR25" i="3"/>
  <c r="BQ25" i="3"/>
  <c r="AW32" i="3"/>
  <c r="K32" i="3" s="1"/>
  <c r="AV32" i="3"/>
  <c r="AV40" i="3"/>
  <c r="AW40" i="3"/>
  <c r="CM11" i="3"/>
  <c r="CL11" i="3"/>
  <c r="AV26" i="3"/>
  <c r="BR30" i="3"/>
  <c r="BQ30" i="3"/>
  <c r="CM6" i="3"/>
  <c r="CL6" i="3"/>
  <c r="BL37" i="3"/>
  <c r="BN37" i="3" s="1"/>
  <c r="BP37" i="3" s="1"/>
  <c r="CG54" i="3"/>
  <c r="CI54" i="3" s="1"/>
  <c r="CK54" i="3" s="1"/>
  <c r="AW43" i="3"/>
  <c r="AV43" i="3"/>
  <c r="AW24" i="3"/>
  <c r="AV24" i="3"/>
  <c r="AW11" i="3"/>
  <c r="K11" i="3" s="1"/>
  <c r="AV11" i="3"/>
  <c r="AV23" i="3"/>
  <c r="AW23" i="3"/>
  <c r="K23" i="3" s="1"/>
  <c r="CM29" i="3"/>
  <c r="CL29" i="3"/>
  <c r="BR42" i="3"/>
  <c r="BQ42" i="3"/>
  <c r="BR50" i="3"/>
  <c r="BQ50" i="3"/>
  <c r="BR32" i="3"/>
  <c r="BQ32" i="3"/>
  <c r="AW50" i="3"/>
  <c r="AV50" i="3"/>
  <c r="AW9" i="3"/>
  <c r="AV9" i="3"/>
  <c r="AW35" i="3"/>
  <c r="CL55" i="3"/>
  <c r="CM55" i="3"/>
  <c r="BR9" i="3"/>
  <c r="BQ9" i="3"/>
  <c r="BR11" i="3"/>
  <c r="BQ11" i="3"/>
  <c r="BR16" i="3"/>
  <c r="K16" i="3" s="1"/>
  <c r="BQ16" i="3"/>
  <c r="CM16" i="3"/>
  <c r="CL16" i="3"/>
  <c r="AV12" i="3"/>
  <c r="AW12" i="3"/>
  <c r="BQ45" i="3"/>
  <c r="BR45" i="3"/>
  <c r="K45" i="3" s="1"/>
  <c r="BQ24" i="3"/>
  <c r="BR24" i="3"/>
  <c r="CM21" i="3"/>
  <c r="CL21" i="3"/>
  <c r="AW41" i="3"/>
  <c r="K41" i="3" s="1"/>
  <c r="AV41" i="3"/>
  <c r="AW48" i="3"/>
  <c r="K48" i="3" s="1"/>
  <c r="AV48" i="3"/>
  <c r="CM7" i="3"/>
  <c r="CL7" i="3"/>
  <c r="CM14" i="3"/>
  <c r="BQ35" i="3"/>
  <c r="AW27" i="3"/>
  <c r="K27" i="3" s="1"/>
  <c r="AV27" i="3"/>
  <c r="BR46" i="3"/>
  <c r="BQ46" i="3"/>
  <c r="BQ53" i="3"/>
  <c r="BR6" i="3"/>
  <c r="BQ6" i="3"/>
  <c r="CM46" i="3"/>
  <c r="CL46" i="3"/>
  <c r="BR20" i="3"/>
  <c r="BQ20" i="3"/>
  <c r="CM39" i="3"/>
  <c r="CL39" i="3"/>
  <c r="CL53" i="3"/>
  <c r="CM25" i="3"/>
  <c r="CL25" i="3"/>
  <c r="AW52" i="3"/>
  <c r="K52" i="3" s="1"/>
  <c r="AV52" i="3"/>
  <c r="AV5" i="3"/>
  <c r="AW5" i="3"/>
  <c r="CL13" i="3"/>
  <c r="BR57" i="3"/>
  <c r="BQ57" i="3"/>
  <c r="AV19" i="3"/>
  <c r="AW19" i="3"/>
  <c r="K19" i="3" s="1"/>
  <c r="CM57" i="3"/>
  <c r="CL57" i="3"/>
  <c r="BL44" i="1"/>
  <c r="BP44" i="1" s="1"/>
  <c r="BL23" i="1"/>
  <c r="BP23" i="1" s="1"/>
  <c r="BL47" i="1"/>
  <c r="BP47" i="1" s="1"/>
  <c r="BL25" i="1"/>
  <c r="BP25" i="1" s="1"/>
  <c r="BL41" i="1"/>
  <c r="BP41" i="1" s="1"/>
  <c r="BL28" i="1"/>
  <c r="BP28" i="1" s="1"/>
  <c r="BL2" i="1"/>
  <c r="BP2" i="1" s="1"/>
  <c r="BL57" i="1"/>
  <c r="BP57" i="1" s="1"/>
  <c r="CG40" i="1"/>
  <c r="CK40" i="1" s="1"/>
  <c r="CG43" i="1"/>
  <c r="CK43" i="1" s="1"/>
  <c r="CG44" i="1"/>
  <c r="CK44" i="1" s="1"/>
  <c r="CG23" i="1"/>
  <c r="CK23" i="1" s="1"/>
  <c r="AQ5" i="1"/>
  <c r="AS5" i="1" s="1"/>
  <c r="AU5" i="1" s="1"/>
  <c r="AV5" i="1" s="1"/>
  <c r="CG13" i="1"/>
  <c r="CK13" i="1" s="1"/>
  <c r="CG56" i="1"/>
  <c r="CK56" i="1" s="1"/>
  <c r="AQ6" i="1"/>
  <c r="AU6" i="1" s="1"/>
  <c r="AW6" i="1" s="1"/>
  <c r="CG38" i="1"/>
  <c r="AQ22" i="1"/>
  <c r="AT22" i="1" s="1"/>
  <c r="AU22" i="1" s="1"/>
  <c r="AV22" i="1" s="1"/>
  <c r="AQ19" i="1"/>
  <c r="AS19" i="1" s="1"/>
  <c r="AU19" i="1" s="1"/>
  <c r="AW19" i="1" s="1"/>
  <c r="AQ41" i="1"/>
  <c r="AU41" i="1" s="1"/>
  <c r="AW41" i="1" s="1"/>
  <c r="AQ53" i="1"/>
  <c r="AS53" i="1" s="1"/>
  <c r="AU53" i="1" s="1"/>
  <c r="AQ8" i="1"/>
  <c r="AU8" i="1" s="1"/>
  <c r="AQ10" i="1"/>
  <c r="AS10" i="1" s="1"/>
  <c r="AU10" i="1" s="1"/>
  <c r="AW10" i="1" s="1"/>
  <c r="AQ52" i="1"/>
  <c r="AU52" i="1" s="1"/>
  <c r="CG55" i="1"/>
  <c r="CK55" i="1" s="1"/>
  <c r="CG39" i="1"/>
  <c r="CI39" i="1" s="1"/>
  <c r="CK39" i="1" s="1"/>
  <c r="CG15" i="1"/>
  <c r="CK15" i="1" s="1"/>
  <c r="CG25" i="1"/>
  <c r="CK25" i="1" s="1"/>
  <c r="CG35" i="1"/>
  <c r="CI35" i="1" s="1"/>
  <c r="CK35" i="1" s="1"/>
  <c r="AQ42" i="1"/>
  <c r="AU42" i="1" s="1"/>
  <c r="AQ51" i="1"/>
  <c r="AS51" i="1" s="1"/>
  <c r="AU51" i="1" s="1"/>
  <c r="AQ20" i="1"/>
  <c r="AS20" i="1" s="1"/>
  <c r="AU20" i="1" s="1"/>
  <c r="AQ3" i="1"/>
  <c r="AT3" i="1" s="1"/>
  <c r="AU3" i="1" s="1"/>
  <c r="AW3" i="1" s="1"/>
  <c r="AQ11" i="1"/>
  <c r="AU11" i="1" s="1"/>
  <c r="AQ37" i="1"/>
  <c r="AS37" i="1" s="1"/>
  <c r="AU37" i="1" s="1"/>
  <c r="AQ30" i="1"/>
  <c r="AS30" i="1" s="1"/>
  <c r="AU30" i="1" s="1"/>
  <c r="AQ54" i="1"/>
  <c r="AU54" i="1" s="1"/>
  <c r="AQ36" i="1"/>
  <c r="AU36" i="1" s="1"/>
  <c r="AQ16" i="1"/>
  <c r="AT16" i="1" s="1"/>
  <c r="AU16" i="1" s="1"/>
  <c r="AV16" i="1" s="1"/>
  <c r="AQ12" i="1"/>
  <c r="AU12" i="1" s="1"/>
  <c r="AW12" i="1" s="1"/>
  <c r="AQ4" i="1"/>
  <c r="AU4" i="1" s="1"/>
  <c r="AQ28" i="1"/>
  <c r="AU28" i="1" s="1"/>
  <c r="AQ29" i="1"/>
  <c r="AU29" i="1" s="1"/>
  <c r="AW29" i="1" s="1"/>
  <c r="CG22" i="1"/>
  <c r="CK22" i="1" s="1"/>
  <c r="CG19" i="1"/>
  <c r="CG8" i="1"/>
  <c r="CG57" i="1"/>
  <c r="CK57" i="1" s="1"/>
  <c r="CG33" i="1"/>
  <c r="CG17" i="1"/>
  <c r="CI17" i="1" s="1"/>
  <c r="CK17" i="1" s="1"/>
  <c r="CG32" i="1"/>
  <c r="CK32" i="1" s="1"/>
  <c r="CG48" i="1"/>
  <c r="CI48" i="1" s="1"/>
  <c r="CK48" i="1" s="1"/>
  <c r="CG20" i="1"/>
  <c r="CI20" i="1" s="1"/>
  <c r="CK20" i="1" s="1"/>
  <c r="AQ14" i="1"/>
  <c r="AU14" i="1" s="1"/>
  <c r="AQ57" i="1"/>
  <c r="AS57" i="1" s="1"/>
  <c r="AU57" i="1" s="1"/>
  <c r="CG30" i="1"/>
  <c r="CK30" i="1" s="1"/>
  <c r="AQ33" i="1"/>
  <c r="AS33" i="1" s="1"/>
  <c r="AU33" i="1" s="1"/>
  <c r="CG36" i="1"/>
  <c r="CK36" i="1" s="1"/>
  <c r="CG28" i="1"/>
  <c r="CK28" i="1" s="1"/>
  <c r="CG29" i="1"/>
  <c r="CK29" i="1" s="1"/>
  <c r="AQ9" i="1"/>
  <c r="AU9" i="1" s="1"/>
  <c r="CG3" i="1"/>
  <c r="CK3" i="1" s="1"/>
  <c r="AQ24" i="1"/>
  <c r="AS24" i="1" s="1"/>
  <c r="AT24" i="1" s="1"/>
  <c r="AU24" i="1" s="1"/>
  <c r="CG21" i="1"/>
  <c r="CK21" i="1" s="1"/>
  <c r="CG18" i="1"/>
  <c r="CK18" i="1" s="1"/>
  <c r="AQ50" i="1"/>
  <c r="AS50" i="1" s="1"/>
  <c r="AU50" i="1" s="1"/>
  <c r="CG27" i="1"/>
  <c r="CK27" i="1" s="1"/>
  <c r="CG51" i="1"/>
  <c r="CG16" i="1"/>
  <c r="CK16" i="1" s="1"/>
  <c r="CG34" i="1"/>
  <c r="CK34" i="1" s="1"/>
  <c r="CG26" i="1"/>
  <c r="CI26" i="1" s="1"/>
  <c r="CK26" i="1" s="1"/>
  <c r="CG49" i="1"/>
  <c r="AQ45" i="1"/>
  <c r="AU45" i="1" s="1"/>
  <c r="CG31" i="1"/>
  <c r="AQ18" i="1"/>
  <c r="AS18" i="1" s="1"/>
  <c r="AU18" i="1" s="1"/>
  <c r="CG2" i="1"/>
  <c r="CK2" i="1" s="1"/>
  <c r="CG7" i="1"/>
  <c r="CK7" i="1" s="1"/>
  <c r="CG47" i="1"/>
  <c r="CK47" i="1" s="1"/>
  <c r="CG46" i="1"/>
  <c r="CK46" i="1" s="1"/>
  <c r="AQ21" i="1"/>
  <c r="AU21" i="1" s="1"/>
  <c r="AW21" i="1" s="1"/>
  <c r="CG14" i="1"/>
  <c r="CK14" i="1" s="1"/>
  <c r="CG24" i="1"/>
  <c r="CI24" i="1" s="1"/>
  <c r="CK24" i="1" s="1"/>
  <c r="CG53" i="1"/>
  <c r="CG9" i="1"/>
  <c r="CK9" i="1" s="1"/>
  <c r="CG50" i="1"/>
  <c r="CG11" i="1"/>
  <c r="CK11" i="1" s="1"/>
  <c r="CG5" i="1"/>
  <c r="AQ55" i="1"/>
  <c r="AU55" i="1" s="1"/>
  <c r="CG12" i="1"/>
  <c r="CI12" i="1" s="1"/>
  <c r="CK12" i="1" s="1"/>
  <c r="AQ38" i="1"/>
  <c r="AS38" i="1" s="1"/>
  <c r="AU38" i="1" s="1"/>
  <c r="AQ40" i="1"/>
  <c r="AU40" i="1" s="1"/>
  <c r="AQ44" i="1"/>
  <c r="AS44" i="1" s="1"/>
  <c r="AU44" i="1" s="1"/>
  <c r="AQ56" i="1"/>
  <c r="AT56" i="1" s="1"/>
  <c r="AU56" i="1" s="1"/>
  <c r="AV56" i="1" s="1"/>
  <c r="AQ49" i="1"/>
  <c r="AS49" i="1" s="1"/>
  <c r="AU49" i="1" s="1"/>
  <c r="AQ47" i="1"/>
  <c r="AS47" i="1" s="1"/>
  <c r="AU47" i="1" s="1"/>
  <c r="AQ46" i="1"/>
  <c r="AU46" i="1" s="1"/>
  <c r="AQ17" i="1"/>
  <c r="AS17" i="1" s="1"/>
  <c r="AU17" i="1" s="1"/>
  <c r="AQ25" i="1"/>
  <c r="AU25" i="1" s="1"/>
  <c r="AQ39" i="1"/>
  <c r="AU39" i="1" s="1"/>
  <c r="AQ35" i="1"/>
  <c r="AS35" i="1" s="1"/>
  <c r="AT35" i="1" s="1"/>
  <c r="AU35" i="1" s="1"/>
  <c r="AV35" i="1" s="1"/>
  <c r="CG37" i="1"/>
  <c r="AQ15" i="1"/>
  <c r="AU15" i="1" s="1"/>
  <c r="CG4" i="1"/>
  <c r="CG6" i="1"/>
  <c r="CK6" i="1" s="1"/>
  <c r="AQ43" i="1"/>
  <c r="AU43" i="1" s="1"/>
  <c r="AQ23" i="1"/>
  <c r="AU23" i="1" s="1"/>
  <c r="AQ13" i="1"/>
  <c r="AU13" i="1" s="1"/>
  <c r="AQ27" i="1"/>
  <c r="AU27" i="1" s="1"/>
  <c r="AQ48" i="1"/>
  <c r="AU48" i="1" s="1"/>
  <c r="AQ31" i="1"/>
  <c r="AS31" i="1" s="1"/>
  <c r="AU31" i="1" s="1"/>
  <c r="AQ32" i="1"/>
  <c r="AU32" i="1" s="1"/>
  <c r="AQ34" i="1"/>
  <c r="AS34" i="1" s="1"/>
  <c r="AU34" i="1" s="1"/>
  <c r="AQ26" i="1"/>
  <c r="AS26" i="1" s="1"/>
  <c r="AT26" i="1" s="1"/>
  <c r="AU26" i="1" s="1"/>
  <c r="AQ2" i="1"/>
  <c r="AS2" i="1" s="1"/>
  <c r="AU2" i="1" s="1"/>
  <c r="AQ7" i="1"/>
  <c r="AT7" i="1" s="1"/>
  <c r="AU7" i="1" s="1"/>
  <c r="AW7" i="1" s="1"/>
  <c r="CG41" i="1"/>
  <c r="CK41" i="1" s="1"/>
  <c r="CG10" i="1"/>
  <c r="CK10" i="1" s="1"/>
  <c r="CG45" i="1"/>
  <c r="CG52" i="1"/>
  <c r="CK52" i="1" s="1"/>
  <c r="CG54" i="1"/>
  <c r="CG42" i="1"/>
  <c r="BL16" i="1"/>
  <c r="BP16" i="1" s="1"/>
  <c r="BL30" i="1"/>
  <c r="BN30" i="1" s="1"/>
  <c r="BP30" i="1" s="1"/>
  <c r="BL12" i="1"/>
  <c r="BO12" i="1" s="1"/>
  <c r="BP12" i="1" s="1"/>
  <c r="BL5" i="1"/>
  <c r="BN5" i="1" s="1"/>
  <c r="BP5" i="1" s="1"/>
  <c r="BL4" i="1"/>
  <c r="BN4" i="1" s="1"/>
  <c r="BP4" i="1" s="1"/>
  <c r="BL6" i="1"/>
  <c r="BP6" i="1" s="1"/>
  <c r="BL15" i="1"/>
  <c r="BP15" i="1" s="1"/>
  <c r="BL18" i="1"/>
  <c r="BN18" i="1" s="1"/>
  <c r="BP18" i="1" s="1"/>
  <c r="BL26" i="1"/>
  <c r="BN26" i="1" s="1"/>
  <c r="BP26" i="1" s="1"/>
  <c r="BL7" i="1"/>
  <c r="BP7" i="1" s="1"/>
  <c r="BL24" i="1"/>
  <c r="BN24" i="1" s="1"/>
  <c r="BP24" i="1" s="1"/>
  <c r="BL40" i="1"/>
  <c r="BO40" i="1" s="1"/>
  <c r="BP40" i="1" s="1"/>
  <c r="BL49" i="1"/>
  <c r="BN49" i="1" s="1"/>
  <c r="BP49" i="1" s="1"/>
  <c r="BL46" i="1"/>
  <c r="BO46" i="1" s="1"/>
  <c r="BP46" i="1" s="1"/>
  <c r="BL17" i="1"/>
  <c r="BN17" i="1" s="1"/>
  <c r="BP17" i="1" s="1"/>
  <c r="BL43" i="1"/>
  <c r="BN43" i="1" s="1"/>
  <c r="BP43" i="1" s="1"/>
  <c r="BL13" i="1"/>
  <c r="BN13" i="1" s="1"/>
  <c r="BP13" i="1" s="1"/>
  <c r="BL56" i="1"/>
  <c r="BP56" i="1" s="1"/>
  <c r="BL27" i="1"/>
  <c r="BN27" i="1" s="1"/>
  <c r="BP27" i="1" s="1"/>
  <c r="BL48" i="1"/>
  <c r="BO48" i="1" s="1"/>
  <c r="BP48" i="1" s="1"/>
  <c r="BL33" i="1"/>
  <c r="BN33" i="1" s="1"/>
  <c r="BP33" i="1" s="1"/>
  <c r="BL9" i="1"/>
  <c r="BP9" i="1" s="1"/>
  <c r="BL29" i="1"/>
  <c r="BO29" i="1" s="1"/>
  <c r="BP29" i="1" s="1"/>
  <c r="BL50" i="1"/>
  <c r="BN50" i="1" s="1"/>
  <c r="BP50" i="1" s="1"/>
  <c r="BL21" i="1"/>
  <c r="BO21" i="1" s="1"/>
  <c r="BP21" i="1" s="1"/>
  <c r="BL55" i="1"/>
  <c r="BO55" i="1" s="1"/>
  <c r="BP55" i="1" s="1"/>
  <c r="BL34" i="1"/>
  <c r="BN34" i="1" s="1"/>
  <c r="BP34" i="1" s="1"/>
  <c r="BL39" i="1"/>
  <c r="BO39" i="1" s="1"/>
  <c r="BP39" i="1" s="1"/>
  <c r="BL14" i="1"/>
  <c r="BP14" i="1" s="1"/>
  <c r="BL31" i="1"/>
  <c r="BN31" i="1" s="1"/>
  <c r="BP31" i="1" s="1"/>
  <c r="BL8" i="1"/>
  <c r="BN8" i="1" s="1"/>
  <c r="BP8" i="1" s="1"/>
  <c r="BL32" i="1"/>
  <c r="BN32" i="1" s="1"/>
  <c r="BP32" i="1" s="1"/>
  <c r="BL35" i="1"/>
  <c r="BN35" i="1" s="1"/>
  <c r="BP35" i="1" s="1"/>
  <c r="BL53" i="1"/>
  <c r="BN53" i="1" s="1"/>
  <c r="BP53" i="1" s="1"/>
  <c r="BL22" i="1"/>
  <c r="BP22" i="1" s="1"/>
  <c r="BL19" i="1"/>
  <c r="BN19" i="1" s="1"/>
  <c r="BP19" i="1" s="1"/>
  <c r="BL10" i="1"/>
  <c r="BN10" i="1" s="1"/>
  <c r="BP10" i="1" s="1"/>
  <c r="BL45" i="1"/>
  <c r="BN45" i="1" s="1"/>
  <c r="BP45" i="1" s="1"/>
  <c r="BL52" i="1"/>
  <c r="BP52" i="1" s="1"/>
  <c r="BL54" i="1"/>
  <c r="BN54" i="1" s="1"/>
  <c r="BP54" i="1" s="1"/>
  <c r="BL42" i="1"/>
  <c r="BP42" i="1" s="1"/>
  <c r="BL36" i="1"/>
  <c r="BP36" i="1" s="1"/>
  <c r="BL51" i="1"/>
  <c r="BN51" i="1" s="1"/>
  <c r="BP51" i="1" s="1"/>
  <c r="BL20" i="1"/>
  <c r="BN20" i="1" s="1"/>
  <c r="BP20" i="1" s="1"/>
  <c r="BL3" i="1"/>
  <c r="BP3" i="1" s="1"/>
  <c r="BL11" i="1"/>
  <c r="BP11" i="1" s="1"/>
  <c r="BL37" i="1"/>
  <c r="BN37" i="1" s="1"/>
  <c r="BP37" i="1" s="1"/>
  <c r="BL38" i="1"/>
  <c r="BN38" i="1" s="1"/>
  <c r="BP38" i="1" s="1"/>
  <c r="K57" i="3" l="1"/>
  <c r="K7" i="3"/>
  <c r="K14" i="3"/>
  <c r="K42" i="3"/>
  <c r="K12" i="3"/>
  <c r="K56" i="3"/>
  <c r="K43" i="3"/>
  <c r="CM54" i="3"/>
  <c r="CL54" i="3"/>
  <c r="BR37" i="3"/>
  <c r="K37" i="3" s="1"/>
  <c r="BQ37" i="3"/>
  <c r="K51" i="3"/>
  <c r="K25" i="3"/>
  <c r="K40" i="3"/>
  <c r="K35" i="3"/>
  <c r="K22" i="3"/>
  <c r="K49" i="3"/>
  <c r="K18" i="3"/>
  <c r="K24" i="3"/>
  <c r="K9" i="3"/>
  <c r="K5" i="3"/>
  <c r="K17" i="3"/>
  <c r="K54" i="3"/>
  <c r="K3" i="3"/>
  <c r="K29" i="3"/>
  <c r="K50" i="3"/>
  <c r="K15" i="3"/>
  <c r="K28" i="3"/>
  <c r="K21" i="3"/>
  <c r="CI45" i="1"/>
  <c r="CK45" i="1" s="1"/>
  <c r="CI53" i="1"/>
  <c r="CK53" i="1" s="1"/>
  <c r="CI38" i="1"/>
  <c r="CK38" i="1" s="1"/>
  <c r="CI33" i="1"/>
  <c r="CK33" i="1" s="1"/>
  <c r="CI8" i="1"/>
  <c r="CK8" i="1" s="1"/>
  <c r="CI4" i="1"/>
  <c r="CK4" i="1" s="1"/>
  <c r="CI54" i="1"/>
  <c r="CK54" i="1" s="1"/>
  <c r="CI37" i="1"/>
  <c r="CK37" i="1" s="1"/>
  <c r="CI31" i="1"/>
  <c r="CK31" i="1" s="1"/>
  <c r="CI5" i="1"/>
  <c r="CK5" i="1" s="1"/>
  <c r="CI50" i="1"/>
  <c r="CK50" i="1" s="1"/>
  <c r="CI51" i="1"/>
  <c r="CK51" i="1" s="1"/>
  <c r="CK42" i="1"/>
  <c r="CM42" i="1" s="1"/>
  <c r="CI19" i="1"/>
  <c r="CK19" i="1" s="1"/>
  <c r="CI49" i="1"/>
  <c r="CK49" i="1" s="1"/>
  <c r="BR17" i="1"/>
  <c r="BQ17" i="1"/>
  <c r="BQ52" i="1"/>
  <c r="BR52" i="1"/>
  <c r="CM26" i="1"/>
  <c r="CL26" i="1"/>
  <c r="BR44" i="1"/>
  <c r="BQ44" i="1"/>
  <c r="BQ24" i="1"/>
  <c r="BR24" i="1"/>
  <c r="BQ7" i="1"/>
  <c r="BR7" i="1"/>
  <c r="K7" i="1" s="1"/>
  <c r="BR35" i="1"/>
  <c r="BQ35" i="1"/>
  <c r="CM18" i="1"/>
  <c r="CL18" i="1"/>
  <c r="CM21" i="1"/>
  <c r="CL21" i="1"/>
  <c r="BR6" i="1"/>
  <c r="BQ6" i="1"/>
  <c r="BQ4" i="1"/>
  <c r="BR4" i="1"/>
  <c r="CL25" i="1"/>
  <c r="CM25" i="1"/>
  <c r="BQ14" i="1"/>
  <c r="BR14" i="1"/>
  <c r="BQ12" i="1"/>
  <c r="BR12" i="1"/>
  <c r="CM29" i="1"/>
  <c r="CL29" i="1"/>
  <c r="CL15" i="1"/>
  <c r="CM15" i="1"/>
  <c r="BQ2" i="1"/>
  <c r="BR2" i="1"/>
  <c r="BQ30" i="1"/>
  <c r="BR30" i="1"/>
  <c r="CM28" i="1"/>
  <c r="CL28" i="1"/>
  <c r="CL39" i="1"/>
  <c r="CM39" i="1"/>
  <c r="BQ39" i="1"/>
  <c r="BR39" i="1"/>
  <c r="BQ16" i="1"/>
  <c r="BR16" i="1"/>
  <c r="CL36" i="1"/>
  <c r="CM36" i="1"/>
  <c r="CL55" i="1"/>
  <c r="CM55" i="1"/>
  <c r="CL40" i="1"/>
  <c r="CM40" i="1"/>
  <c r="BQ54" i="1"/>
  <c r="BR54" i="1"/>
  <c r="BR49" i="1"/>
  <c r="BQ49" i="1"/>
  <c r="CM6" i="1"/>
  <c r="CL6" i="1"/>
  <c r="BQ45" i="1"/>
  <c r="BR45" i="1"/>
  <c r="CM34" i="1"/>
  <c r="CL34" i="1"/>
  <c r="BR40" i="1"/>
  <c r="BQ40" i="1"/>
  <c r="CM16" i="1"/>
  <c r="CL16" i="1"/>
  <c r="BQ19" i="1"/>
  <c r="BR19" i="1"/>
  <c r="BR22" i="1"/>
  <c r="BQ22" i="1"/>
  <c r="BQ53" i="1"/>
  <c r="BR53" i="1"/>
  <c r="BR32" i="1"/>
  <c r="BQ32" i="1"/>
  <c r="BR25" i="1"/>
  <c r="BQ25" i="1"/>
  <c r="CL3" i="1"/>
  <c r="CM3" i="1"/>
  <c r="K3" i="1" s="1"/>
  <c r="BQ5" i="1"/>
  <c r="BR5" i="1"/>
  <c r="CM12" i="1"/>
  <c r="CL12" i="1"/>
  <c r="BQ55" i="1"/>
  <c r="BR55" i="1"/>
  <c r="CM30" i="1"/>
  <c r="CL30" i="1"/>
  <c r="BQ21" i="1"/>
  <c r="BR21" i="1"/>
  <c r="K21" i="1" s="1"/>
  <c r="CL52" i="1"/>
  <c r="CM52" i="1"/>
  <c r="BQ50" i="1"/>
  <c r="BR50" i="1"/>
  <c r="CL11" i="1"/>
  <c r="CM11" i="1"/>
  <c r="BR29" i="1"/>
  <c r="K29" i="1" s="1"/>
  <c r="BQ29" i="1"/>
  <c r="CL10" i="1"/>
  <c r="CM10" i="1"/>
  <c r="CL20" i="1"/>
  <c r="CM20" i="1"/>
  <c r="BQ42" i="1"/>
  <c r="BR42" i="1"/>
  <c r="BR46" i="1"/>
  <c r="BQ46" i="1"/>
  <c r="BR23" i="1"/>
  <c r="BQ23" i="1"/>
  <c r="BR10" i="1"/>
  <c r="K10" i="1" s="1"/>
  <c r="BQ10" i="1"/>
  <c r="BQ41" i="1"/>
  <c r="BR41" i="1"/>
  <c r="K41" i="1" s="1"/>
  <c r="CL27" i="1"/>
  <c r="CM27" i="1"/>
  <c r="BQ26" i="1"/>
  <c r="BR26" i="1"/>
  <c r="BQ18" i="1"/>
  <c r="BR18" i="1"/>
  <c r="BQ15" i="1"/>
  <c r="BR15" i="1"/>
  <c r="BR8" i="1"/>
  <c r="BQ8" i="1"/>
  <c r="CL35" i="1"/>
  <c r="CM35" i="1"/>
  <c r="BR31" i="1"/>
  <c r="BQ31" i="1"/>
  <c r="BQ34" i="1"/>
  <c r="BR34" i="1"/>
  <c r="BR28" i="1"/>
  <c r="BQ28" i="1"/>
  <c r="CL41" i="1"/>
  <c r="CM41" i="1"/>
  <c r="CM9" i="1"/>
  <c r="CL9" i="1"/>
  <c r="CL48" i="1"/>
  <c r="CM48" i="1"/>
  <c r="BQ9" i="1"/>
  <c r="BR9" i="1"/>
  <c r="CL32" i="1"/>
  <c r="CM32" i="1"/>
  <c r="BQ33" i="1"/>
  <c r="BR33" i="1"/>
  <c r="CM24" i="1"/>
  <c r="CL24" i="1"/>
  <c r="CL17" i="1"/>
  <c r="CM17" i="1"/>
  <c r="BQ38" i="1"/>
  <c r="BR38" i="1"/>
  <c r="BQ57" i="1"/>
  <c r="BR57" i="1"/>
  <c r="CM14" i="1"/>
  <c r="CL14" i="1"/>
  <c r="BQ37" i="1"/>
  <c r="BR37" i="1"/>
  <c r="BR48" i="1"/>
  <c r="BQ48" i="1"/>
  <c r="CM57" i="1"/>
  <c r="CL57" i="1"/>
  <c r="CL56" i="1"/>
  <c r="CM56" i="1"/>
  <c r="BQ11" i="1"/>
  <c r="BR11" i="1"/>
  <c r="BR27" i="1"/>
  <c r="BQ27" i="1"/>
  <c r="CL46" i="1"/>
  <c r="CM46" i="1"/>
  <c r="CM13" i="1"/>
  <c r="CL13" i="1"/>
  <c r="BQ3" i="1"/>
  <c r="BR3" i="1"/>
  <c r="BR47" i="1"/>
  <c r="BQ47" i="1"/>
  <c r="CM47" i="1"/>
  <c r="CL47" i="1"/>
  <c r="BQ20" i="1"/>
  <c r="BR20" i="1"/>
  <c r="BR56" i="1"/>
  <c r="BQ56" i="1"/>
  <c r="CM7" i="1"/>
  <c r="CL7" i="1"/>
  <c r="CL22" i="1"/>
  <c r="CM22" i="1"/>
  <c r="CL23" i="1"/>
  <c r="CM23" i="1"/>
  <c r="BQ51" i="1"/>
  <c r="BR51" i="1"/>
  <c r="BR13" i="1"/>
  <c r="BQ13" i="1"/>
  <c r="CM2" i="1"/>
  <c r="CL2" i="1"/>
  <c r="CL44" i="1"/>
  <c r="CM44" i="1"/>
  <c r="BQ36" i="1"/>
  <c r="BR36" i="1"/>
  <c r="BR43" i="1"/>
  <c r="BQ43" i="1"/>
  <c r="CL43" i="1"/>
  <c r="CM43" i="1"/>
  <c r="AW5" i="1"/>
  <c r="AV6" i="1"/>
  <c r="AV29" i="1"/>
  <c r="AV31" i="1"/>
  <c r="AW31" i="1"/>
  <c r="AW52" i="1"/>
  <c r="K52" i="1" s="1"/>
  <c r="AV52" i="1"/>
  <c r="AV50" i="1"/>
  <c r="AW50" i="1"/>
  <c r="AV19" i="1"/>
  <c r="AV36" i="1"/>
  <c r="AW36" i="1"/>
  <c r="AV15" i="1"/>
  <c r="AW15" i="1"/>
  <c r="AV11" i="1"/>
  <c r="AW11" i="1"/>
  <c r="AW22" i="1"/>
  <c r="AW51" i="1"/>
  <c r="AV51" i="1"/>
  <c r="AV10" i="1"/>
  <c r="AV41" i="1"/>
  <c r="AV12" i="1"/>
  <c r="AV21" i="1"/>
  <c r="AW57" i="1"/>
  <c r="K57" i="1" s="1"/>
  <c r="AV57" i="1"/>
  <c r="AW2" i="1"/>
  <c r="AV2" i="1"/>
  <c r="AW23" i="1"/>
  <c r="AV23" i="1"/>
  <c r="AW47" i="1"/>
  <c r="AV47" i="1"/>
  <c r="AW44" i="1"/>
  <c r="AV44" i="1"/>
  <c r="AW28" i="1"/>
  <c r="AV28" i="1"/>
  <c r="AW25" i="1"/>
  <c r="AV25" i="1"/>
  <c r="AW49" i="1"/>
  <c r="AV49" i="1"/>
  <c r="AW20" i="1"/>
  <c r="AV20" i="1"/>
  <c r="AW42" i="1"/>
  <c r="K42" i="1" s="1"/>
  <c r="AV42" i="1"/>
  <c r="AW9" i="1"/>
  <c r="AV9" i="1"/>
  <c r="AW56" i="1"/>
  <c r="AW14" i="1"/>
  <c r="AV14" i="1"/>
  <c r="AW17" i="1"/>
  <c r="AV17" i="1"/>
  <c r="AW34" i="1"/>
  <c r="AV34" i="1"/>
  <c r="AW32" i="1"/>
  <c r="AV32" i="1"/>
  <c r="AW27" i="1"/>
  <c r="AV27" i="1"/>
  <c r="AW13" i="1"/>
  <c r="AV13" i="1"/>
  <c r="AW43" i="1"/>
  <c r="AV43" i="1"/>
  <c r="AW18" i="1"/>
  <c r="AV18" i="1"/>
  <c r="AW16" i="1"/>
  <c r="AW30" i="1"/>
  <c r="AV30" i="1"/>
  <c r="AV3" i="1"/>
  <c r="AW39" i="1"/>
  <c r="AV39" i="1"/>
  <c r="AW48" i="1"/>
  <c r="AV48" i="1"/>
  <c r="AW46" i="1"/>
  <c r="K46" i="1" s="1"/>
  <c r="AV46" i="1"/>
  <c r="AV7" i="1"/>
  <c r="AW35" i="1"/>
  <c r="AW40" i="1"/>
  <c r="K40" i="1" s="1"/>
  <c r="AV40" i="1"/>
  <c r="AW55" i="1"/>
  <c r="AV55" i="1"/>
  <c r="AW26" i="1"/>
  <c r="AV26" i="1"/>
  <c r="AW24" i="1"/>
  <c r="AV24" i="1"/>
  <c r="K18" i="1" l="1"/>
  <c r="K12" i="1"/>
  <c r="K6" i="1"/>
  <c r="K34" i="1"/>
  <c r="K32" i="1"/>
  <c r="K20" i="1"/>
  <c r="K49" i="1"/>
  <c r="K48" i="1"/>
  <c r="K25" i="1"/>
  <c r="K39" i="1"/>
  <c r="K28" i="1"/>
  <c r="K30" i="1"/>
  <c r="K44" i="1"/>
  <c r="K16" i="1"/>
  <c r="K47" i="1"/>
  <c r="K23" i="1"/>
  <c r="K43" i="1"/>
  <c r="K2" i="1"/>
  <c r="K13" i="1"/>
  <c r="K45" i="1"/>
  <c r="K27" i="1"/>
  <c r="K35" i="1"/>
  <c r="K37" i="1"/>
  <c r="K4" i="1"/>
  <c r="K8" i="1"/>
  <c r="K54" i="1"/>
  <c r="K24" i="1"/>
  <c r="K17" i="1"/>
  <c r="K22" i="1"/>
  <c r="K11" i="1"/>
  <c r="K26" i="1"/>
  <c r="K14" i="1"/>
  <c r="K56" i="1"/>
  <c r="K15" i="1"/>
  <c r="K55" i="1"/>
  <c r="K9" i="1"/>
  <c r="K36" i="1"/>
  <c r="CM45" i="1"/>
  <c r="CL45" i="1"/>
  <c r="CM50" i="1"/>
  <c r="K50" i="1" s="1"/>
  <c r="CL50" i="1"/>
  <c r="CL37" i="1"/>
  <c r="CM37" i="1"/>
  <c r="CL54" i="1"/>
  <c r="CM54" i="1"/>
  <c r="CM4" i="1"/>
  <c r="CL4" i="1"/>
  <c r="CL8" i="1"/>
  <c r="CM8" i="1"/>
  <c r="CL33" i="1"/>
  <c r="CM33" i="1"/>
  <c r="K33" i="1" s="1"/>
  <c r="CL38" i="1"/>
  <c r="CM38" i="1"/>
  <c r="K38" i="1" s="1"/>
  <c r="CL53" i="1"/>
  <c r="CM53" i="1"/>
  <c r="K53" i="1" s="1"/>
  <c r="CM5" i="1"/>
  <c r="K5" i="1" s="1"/>
  <c r="CL5" i="1"/>
  <c r="CM19" i="1"/>
  <c r="K19" i="1" s="1"/>
  <c r="CL19" i="1"/>
  <c r="CL51" i="1"/>
  <c r="CM51" i="1"/>
  <c r="K51" i="1" s="1"/>
  <c r="CM31" i="1"/>
  <c r="K31" i="1" s="1"/>
  <c r="CL31" i="1"/>
  <c r="CM49" i="1"/>
  <c r="CL49" i="1"/>
  <c r="CL42" i="1"/>
</calcChain>
</file>

<file path=xl/sharedStrings.xml><?xml version="1.0" encoding="utf-8"?>
<sst xmlns="http://schemas.openxmlformats.org/spreadsheetml/2006/main" count="4730" uniqueCount="555">
  <si>
    <t>Öğrenci_Numarası</t>
  </si>
  <si>
    <t>Öğrenci_Ad_Soyad</t>
  </si>
  <si>
    <t>Fatura_Numarası</t>
  </si>
  <si>
    <t>Beyanname_Türü</t>
  </si>
  <si>
    <t>Alıcı_Adı_Adresi</t>
  </si>
  <si>
    <t>Beyan_Sahibi_Temsilci</t>
  </si>
  <si>
    <t>Gideceği_Ülke_Kodu</t>
  </si>
  <si>
    <t>Teslim_Şekli_Yeri</t>
  </si>
  <si>
    <t>Döviz</t>
  </si>
  <si>
    <t>Toplam_Fatura_Değeri</t>
  </si>
  <si>
    <t>Beyan_Yeri</t>
  </si>
  <si>
    <t>Beyan_Tarihi</t>
  </si>
  <si>
    <t>Gönderici_Adı_Adresi_VergiNo</t>
  </si>
  <si>
    <t>İlk_Varış_Ülkesi_Kodu</t>
  </si>
  <si>
    <t>Ticareti_Yapan_Ülke_Kodu</t>
  </si>
  <si>
    <t>Referans_Numarası</t>
  </si>
  <si>
    <t>Sevk_Ülkesi_Adı_Kodu</t>
  </si>
  <si>
    <t>Taşıma_Aracı_Kimliği</t>
  </si>
  <si>
    <t>Konteyner_Kodu</t>
  </si>
  <si>
    <t>Taşıma_Şekli_Sınır</t>
  </si>
  <si>
    <t>Taşıma_Şekli_Dahili</t>
  </si>
  <si>
    <t>Varış Gümrük İdaresi</t>
  </si>
  <si>
    <t>Banka_Adı_Şube</t>
  </si>
  <si>
    <t>Ödeme_Şekli</t>
  </si>
  <si>
    <t>Toplam_Net_Ağırlık_KG</t>
  </si>
  <si>
    <t>Toplam_Brüt_Ağırlık_KG</t>
  </si>
  <si>
    <t>SWIFT_Kodu</t>
  </si>
  <si>
    <t>IBAN</t>
  </si>
  <si>
    <t>GTIP_Kodu_1</t>
  </si>
  <si>
    <t>Ürün_Tanımı_1</t>
  </si>
  <si>
    <t>Menşe_Ülke_Kodu_1</t>
  </si>
  <si>
    <t>Kap_Cinsi_1</t>
  </si>
  <si>
    <t>Kap_Adedi_1</t>
  </si>
  <si>
    <t>Net_Ağırlık_KG_1</t>
  </si>
  <si>
    <t>Brüt_Ağırlık_KG_1</t>
  </si>
  <si>
    <t>Tamamlayıcı_Ölçü_Birimi_1</t>
  </si>
  <si>
    <t>Kalem_Fiyatı_1</t>
  </si>
  <si>
    <t>İstatistiki_Kıymet_FOB_1</t>
  </si>
  <si>
    <t>Navlun_Tutari_1</t>
  </si>
  <si>
    <t>Sigorta_Tutari_1</t>
  </si>
  <si>
    <t>CIF_Toplam_1</t>
  </si>
  <si>
    <t>Vergi_Kodu_1</t>
  </si>
  <si>
    <t>GV_1</t>
  </si>
  <si>
    <t>ÖTV_1</t>
  </si>
  <si>
    <t>KDV_1</t>
  </si>
  <si>
    <t>Vergiler_Toplami_1</t>
  </si>
  <si>
    <t>Toplam_Tutar_1</t>
  </si>
  <si>
    <t>Ek_Belge_Kodu_1</t>
  </si>
  <si>
    <t>Ek_Belge_Referans_1</t>
  </si>
  <si>
    <t>GTIP_Kodu_2</t>
  </si>
  <si>
    <t>Ürün_Tanımı_2</t>
  </si>
  <si>
    <t>Menşe_Ülke_Kodu_2</t>
  </si>
  <si>
    <t>Kap_Cinsi_2</t>
  </si>
  <si>
    <t>Kap_Adedi_2</t>
  </si>
  <si>
    <t>Net_Ağırlık_KG_2</t>
  </si>
  <si>
    <t>Brüt_Ağırlık_KG_2</t>
  </si>
  <si>
    <t>Tamamlayıcı_Ölçü_Birimi_2</t>
  </si>
  <si>
    <t>Kalem_Fiyatı_2</t>
  </si>
  <si>
    <t>İstatistiki_Kıymet_FOB_2</t>
  </si>
  <si>
    <t>Navlun_Tutari_2</t>
  </si>
  <si>
    <t>Sigorta_Tutari_2</t>
  </si>
  <si>
    <t>CIF_Toplam_2</t>
  </si>
  <si>
    <t>Vergi_Kodu_2</t>
  </si>
  <si>
    <t>GV_2</t>
  </si>
  <si>
    <t>ÖTV_2</t>
  </si>
  <si>
    <t>KDV_2</t>
  </si>
  <si>
    <t>Vergiler_Toplami_2</t>
  </si>
  <si>
    <t>Toplam_Tutar_2</t>
  </si>
  <si>
    <t>Ek_Belge_Kodu_2</t>
  </si>
  <si>
    <t>Ek_Belge_Referans_2</t>
  </si>
  <si>
    <t>GTIP_Kodu_3</t>
  </si>
  <si>
    <t>Ürün_Tanımı_3</t>
  </si>
  <si>
    <t>Menşe_Ülke_Kodu_3</t>
  </si>
  <si>
    <t>Kap_Cinsi_3</t>
  </si>
  <si>
    <t>Kap_Adedi_3</t>
  </si>
  <si>
    <t>Net_Ağırlık_KG_3</t>
  </si>
  <si>
    <t>Brüt_Ağırlık_KG_3</t>
  </si>
  <si>
    <t>Tamamlayıcı_Ölçü_Birimi_3</t>
  </si>
  <si>
    <t>Kalem_Fiyatı_3</t>
  </si>
  <si>
    <t>İstatistiki_Kıymet_FOB_3</t>
  </si>
  <si>
    <t>Navlun_Tutari_3</t>
  </si>
  <si>
    <t>Sigorta_Tutari_3</t>
  </si>
  <si>
    <t>CIF_Toplam_3</t>
  </si>
  <si>
    <t>Vergi_Kodu_3</t>
  </si>
  <si>
    <t>GV_3</t>
  </si>
  <si>
    <t>ÖTV_3</t>
  </si>
  <si>
    <t>KDV_3</t>
  </si>
  <si>
    <t>Vergiler_Toplami_3</t>
  </si>
  <si>
    <t>Toplam_Tutar_3</t>
  </si>
  <si>
    <t>Ek_Belge_Kodu_3</t>
  </si>
  <si>
    <t>Ek_Belge_Referans_3</t>
  </si>
  <si>
    <t>İSMAİL DEMİRCİ</t>
  </si>
  <si>
    <t>FTR1222603002</t>
  </si>
  <si>
    <t>IM</t>
  </si>
  <si>
    <t>Keşan Ticaret A.Ş., Keşan/EDİRNE, Vergi No: 1234567890</t>
  </si>
  <si>
    <t>Keşan Ticaret A.Ş., Vergi No: 1234567890</t>
  </si>
  <si>
    <t>TR</t>
  </si>
  <si>
    <t>FCA - Varşova</t>
  </si>
  <si>
    <t>EUR</t>
  </si>
  <si>
    <t>Keşan</t>
  </si>
  <si>
    <t>30.11.2025</t>
  </si>
  <si>
    <t>Polonya İthalat Ltd., Varşova</t>
  </si>
  <si>
    <t>REF1222603002</t>
  </si>
  <si>
    <t>PL</t>
  </si>
  <si>
    <t>34ABC123</t>
  </si>
  <si>
    <t>Keşan Deposu</t>
  </si>
  <si>
    <t>Kapıkule Gümrük Müdürlüğü</t>
  </si>
  <si>
    <t>Ziraat Bankası Keşan Şubesi</t>
  </si>
  <si>
    <t>Peşin</t>
  </si>
  <si>
    <t>TCZBTR2A</t>
  </si>
  <si>
    <t>TR25 0004 6000 0012 3456 7890 12</t>
  </si>
  <si>
    <t>Bisküvi</t>
  </si>
  <si>
    <t>KK</t>
  </si>
  <si>
    <t>Adet</t>
  </si>
  <si>
    <t>ATR</t>
  </si>
  <si>
    <t>ATR-FTR1222603002-1</t>
  </si>
  <si>
    <t>Hurma</t>
  </si>
  <si>
    <t>DK</t>
  </si>
  <si>
    <t>EUR.1</t>
  </si>
  <si>
    <t>EUR.1-FTR1222603002-2</t>
  </si>
  <si>
    <t>Buğday</t>
  </si>
  <si>
    <t>EUR.1-FTR1222603002-3</t>
  </si>
  <si>
    <t>YAĞIZ TOPRAK GANİ</t>
  </si>
  <si>
    <t>FTR1222603003</t>
  </si>
  <si>
    <t>FCA - Frankfurt</t>
  </si>
  <si>
    <t>Almanya İthalat Ltd., Frankfurt</t>
  </si>
  <si>
    <t>REF1222603003</t>
  </si>
  <si>
    <t>DE</t>
  </si>
  <si>
    <t>TR11 0012 3000 0008 9012 3456 78</t>
  </si>
  <si>
    <t>Kimyasal</t>
  </si>
  <si>
    <t>ATR-FTR1222603003-1</t>
  </si>
  <si>
    <t>Plastik Hammadde</t>
  </si>
  <si>
    <t>ATR-FTR1222603003-2</t>
  </si>
  <si>
    <t>Üre (Gübre)</t>
  </si>
  <si>
    <t>ATR-FTR1222603003-3</t>
  </si>
  <si>
    <t>MESUT BALKAN</t>
  </si>
  <si>
    <t>FTR1222603004</t>
  </si>
  <si>
    <t>FCA - Paris</t>
  </si>
  <si>
    <t>Fransa İthalat Ltd., Paris</t>
  </si>
  <si>
    <t>REF1222603004</t>
  </si>
  <si>
    <t>FR</t>
  </si>
  <si>
    <t>T-Shirt</t>
  </si>
  <si>
    <t>BY</t>
  </si>
  <si>
    <t>ATR-FTR1222603004-1</t>
  </si>
  <si>
    <t>Kot Pantolon</t>
  </si>
  <si>
    <t>ATR-FTR1222603004-2</t>
  </si>
  <si>
    <t>Pamuk İpliği</t>
  </si>
  <si>
    <t>ATR-FTR1222603004-3</t>
  </si>
  <si>
    <t>İZZET BERKAN KILIÇ</t>
  </si>
  <si>
    <t>FTR1222603006</t>
  </si>
  <si>
    <t>FCA - Prag</t>
  </si>
  <si>
    <t>Çekya İthalat Ltd., Prag</t>
  </si>
  <si>
    <t>REF1222603006</t>
  </si>
  <si>
    <t>CZ</t>
  </si>
  <si>
    <t>Laptop</t>
  </si>
  <si>
    <t>ATR-FTR1222603006-1</t>
  </si>
  <si>
    <t>Akıllı Telefon</t>
  </si>
  <si>
    <t>ATR-FTR1222603006-2</t>
  </si>
  <si>
    <t>Cam Eşya</t>
  </si>
  <si>
    <t>ATR-FTR1222603006-3</t>
  </si>
  <si>
    <t>ONAT BURKAY ONAR</t>
  </si>
  <si>
    <t>FTR1222603007</t>
  </si>
  <si>
    <t>FCA - Milano</t>
  </si>
  <si>
    <t>İtalya İthalat Ltd., Milano</t>
  </si>
  <si>
    <t>REF1222603007</t>
  </si>
  <si>
    <t>IT</t>
  </si>
  <si>
    <t>TR55 0006 7000 0003 4567 8901 23</t>
  </si>
  <si>
    <t>Lastik</t>
  </si>
  <si>
    <t>ATR-FTR1222603007-1</t>
  </si>
  <si>
    <t>İş Mak. Parça</t>
  </si>
  <si>
    <t>ATR-FTR1222603007-2</t>
  </si>
  <si>
    <t>Transformatör</t>
  </si>
  <si>
    <t>ATR-FTR1222603007-3</t>
  </si>
  <si>
    <t>YAĞMUR GÖK</t>
  </si>
  <si>
    <t>FTR1222603008</t>
  </si>
  <si>
    <t>FOB - Rotterdam</t>
  </si>
  <si>
    <t>USD</t>
  </si>
  <si>
    <t>Hollanda İthalat Ltd., Rotterdam</t>
  </si>
  <si>
    <t>REF1222603008</t>
  </si>
  <si>
    <t>NL</t>
  </si>
  <si>
    <t>TR88 0013 4000 0006 7890 1234 56</t>
  </si>
  <si>
    <t>Ahşap Mobilya</t>
  </si>
  <si>
    <t>AS</t>
  </si>
  <si>
    <t>ATR-FTR1222603008-1</t>
  </si>
  <si>
    <t>Kereste</t>
  </si>
  <si>
    <t>ATR-FTR1222603008-2</t>
  </si>
  <si>
    <t>Seramik Karo</t>
  </si>
  <si>
    <t>ATR-FTR1222603008-3</t>
  </si>
  <si>
    <t>ALPEREN KOÇAŞ</t>
  </si>
  <si>
    <t>FTR1222603009</t>
  </si>
  <si>
    <t>FCA - Hannover</t>
  </si>
  <si>
    <t>Almanya İthalat Ltd., Hannover</t>
  </si>
  <si>
    <t>REF1222603009</t>
  </si>
  <si>
    <t>TR12 0001 0002 3456 7890 1234 56</t>
  </si>
  <si>
    <t>Otomobil</t>
  </si>
  <si>
    <t>AR</t>
  </si>
  <si>
    <t>ATR-FTR1222603009-1</t>
  </si>
  <si>
    <t>Forklift</t>
  </si>
  <si>
    <t>ATR-FTR1222603009-2</t>
  </si>
  <si>
    <t>Deri Ayakkabı</t>
  </si>
  <si>
    <t>ATR-FTR1222603009-3</t>
  </si>
  <si>
    <t>DİLARA YILMAZ</t>
  </si>
  <si>
    <t>FTR1222603010</t>
  </si>
  <si>
    <t>FCA - Viyana</t>
  </si>
  <si>
    <t>Avusturya İthalat Ltd., Viyana</t>
  </si>
  <si>
    <t>REF1222603010</t>
  </si>
  <si>
    <t>AT</t>
  </si>
  <si>
    <t>TR66 0001 2000 0004 5678 9012 34</t>
  </si>
  <si>
    <t>ATR-FTR1222603010-1</t>
  </si>
  <si>
    <t>EUR.1-FTR1222603010-2</t>
  </si>
  <si>
    <t>EUR.1-FTR1222603010-3</t>
  </si>
  <si>
    <t>EMİR HARUNOĞLU</t>
  </si>
  <si>
    <t>FTR1222603011</t>
  </si>
  <si>
    <t>FCA - Stokholm</t>
  </si>
  <si>
    <t>İsveç İthalat Ltd., Stokholm</t>
  </si>
  <si>
    <t>REF1222603011</t>
  </si>
  <si>
    <t>SE</t>
  </si>
  <si>
    <t>ATR-FTR1222603011-1</t>
  </si>
  <si>
    <t>ATR-FTR1222603011-2</t>
  </si>
  <si>
    <t>ATR-FTR1222603011-3</t>
  </si>
  <si>
    <t>NİSANUR ÇAKMAK</t>
  </si>
  <si>
    <t>FTR1222603013</t>
  </si>
  <si>
    <t>FCA - Helsinki</t>
  </si>
  <si>
    <t>Finlandiya İthalat Ltd., Helsinki</t>
  </si>
  <si>
    <t>REF1222603013</t>
  </si>
  <si>
    <t>FI</t>
  </si>
  <si>
    <t>ATR-FTR1222603013-1</t>
  </si>
  <si>
    <t>ATR-FTR1222603013-2</t>
  </si>
  <si>
    <t>ATR-FTR1222603013-3</t>
  </si>
  <si>
    <t>ŞULE YÜRÜK</t>
  </si>
  <si>
    <t>FTR1222603014</t>
  </si>
  <si>
    <t>FCA - Vilnius</t>
  </si>
  <si>
    <t>Litvanya İthalat Ltd., Vilnius</t>
  </si>
  <si>
    <t>REF1222603014</t>
  </si>
  <si>
    <t>LT</t>
  </si>
  <si>
    <t>ATR-FTR1222603014-1</t>
  </si>
  <si>
    <t>ATR-FTR1222603014-2</t>
  </si>
  <si>
    <t>ATR-FTR1222603014-3</t>
  </si>
  <si>
    <t>ALEYNA KARTAL</t>
  </si>
  <si>
    <t>FTR1222603015</t>
  </si>
  <si>
    <t>FOB - Tahran</t>
  </si>
  <si>
    <t>İran İthalat Ltd., Tahran</t>
  </si>
  <si>
    <t>REF1222603015</t>
  </si>
  <si>
    <t>IR</t>
  </si>
  <si>
    <t>EUR.1-FTR1222603015-1</t>
  </si>
  <si>
    <t>EUR.1-FTR1222603015-2</t>
  </si>
  <si>
    <t>EUR.1-FTR1222603015-3</t>
  </si>
  <si>
    <t>EMRE ERİŞ</t>
  </si>
  <si>
    <t>FTR1222603016</t>
  </si>
  <si>
    <t>FCA - Bakü</t>
  </si>
  <si>
    <t>Azerbaycan İthalat Ltd., Bakü</t>
  </si>
  <si>
    <t>REF1222603016</t>
  </si>
  <si>
    <t>AZ</t>
  </si>
  <si>
    <t>EUR.1-FTR1222603016-1</t>
  </si>
  <si>
    <t>EUR.1-FTR1222603016-2</t>
  </si>
  <si>
    <t>EUR.1-FTR1222603016-3</t>
  </si>
  <si>
    <t>TURGUT ÖZAL ÖZDEMİR</t>
  </si>
  <si>
    <t>FTR1222603017</t>
  </si>
  <si>
    <t>FCA - Bağdat</t>
  </si>
  <si>
    <t>Irak İthalat Ltd., Bağdat</t>
  </si>
  <si>
    <t>REF1222603017</t>
  </si>
  <si>
    <t>IQ</t>
  </si>
  <si>
    <t>EUR.1-FTR1222603017-1</t>
  </si>
  <si>
    <t>EUR.1-FTR1222603017-2</t>
  </si>
  <si>
    <t>EUR.1-FTR1222603017-3</t>
  </si>
  <si>
    <t>DİLARA ÇELİK</t>
  </si>
  <si>
    <t>FTR1222603018</t>
  </si>
  <si>
    <t>FCA - Tiflis</t>
  </si>
  <si>
    <t>Gürcistan İthalat Ltd., Tiflis</t>
  </si>
  <si>
    <t>REF1222603018</t>
  </si>
  <si>
    <t>GE</t>
  </si>
  <si>
    <t>EUR.1-FTR1222603018-1</t>
  </si>
  <si>
    <t>EUR.1-FTR1222603018-2</t>
  </si>
  <si>
    <t>EUR.1-FTR1222603018-3</t>
  </si>
  <si>
    <t>AYTAÇ SİNECEM</t>
  </si>
  <si>
    <t>FTR1222603019</t>
  </si>
  <si>
    <t>FOB - Xi'an</t>
  </si>
  <si>
    <t>Çin İthalat Ltd., Xi'an</t>
  </si>
  <si>
    <t>REF1222603019</t>
  </si>
  <si>
    <t>CN</t>
  </si>
  <si>
    <t>EUR.1-FTR1222603019-1</t>
  </si>
  <si>
    <t>EUR.1-FTR1222603019-2</t>
  </si>
  <si>
    <t>EUR.1-FTR1222603019-3</t>
  </si>
  <si>
    <t>RABİA ZEYNEP POLAT</t>
  </si>
  <si>
    <t>FTR1222603020</t>
  </si>
  <si>
    <t>FOB - Lahor</t>
  </si>
  <si>
    <t>Pakistan İthalat Ltd., Lahor</t>
  </si>
  <si>
    <t>REF1222603020</t>
  </si>
  <si>
    <t>PK</t>
  </si>
  <si>
    <t>EUR.1-FTR1222603020-1</t>
  </si>
  <si>
    <t>EUR.1-FTR1222603020-2</t>
  </si>
  <si>
    <t>EUR.1-FTR1222603020-3</t>
  </si>
  <si>
    <t>SİMAY KARABACAKOĞULLARI</t>
  </si>
  <si>
    <t>FTR1222603022</t>
  </si>
  <si>
    <t>FOB - Dakka</t>
  </si>
  <si>
    <t>Bangladeş İthalat Ltd., Dakka</t>
  </si>
  <si>
    <t>REF1222603022</t>
  </si>
  <si>
    <t>BD</t>
  </si>
  <si>
    <t>TR44 0006 2000 0002 3456 7890 12</t>
  </si>
  <si>
    <t>EUR.1-FTR1222603022-1</t>
  </si>
  <si>
    <t>EUR.1-FTR1222603022-2</t>
  </si>
  <si>
    <t>EUR.1-FTR1222603022-3</t>
  </si>
  <si>
    <t>HÜSNE CANAVAR</t>
  </si>
  <si>
    <t>FTR1222603023</t>
  </si>
  <si>
    <t>FOB - Krasnodar</t>
  </si>
  <si>
    <t>Rusya İthalat Ltd., Krasnodar</t>
  </si>
  <si>
    <t>REF1222603023</t>
  </si>
  <si>
    <t>RU</t>
  </si>
  <si>
    <t>EUR.1-FTR1222603023-1</t>
  </si>
  <si>
    <t>EUR.1-FTR1222603023-2</t>
  </si>
  <si>
    <t>EUR.1-FTR1222603023-3</t>
  </si>
  <si>
    <t>SEFA DEMİR</t>
  </si>
  <si>
    <t>FTR1222603024</t>
  </si>
  <si>
    <t>FOB - Lviv</t>
  </si>
  <si>
    <t>Ukrayna İthalat Ltd., Lviv</t>
  </si>
  <si>
    <t>REF1222603024</t>
  </si>
  <si>
    <t>UA</t>
  </si>
  <si>
    <t>EUR.1-FTR1222603024-1</t>
  </si>
  <si>
    <t>EUR.1-FTR1222603024-2</t>
  </si>
  <si>
    <t>EUR.1-FTR1222603024-3</t>
  </si>
  <si>
    <t>BERFİN TULGAR</t>
  </si>
  <si>
    <t>FTR1222603025</t>
  </si>
  <si>
    <t>FOB - Hanoi</t>
  </si>
  <si>
    <t>Vietnam İthalat Ltd., Hanoi</t>
  </si>
  <si>
    <t>REF1222603025</t>
  </si>
  <si>
    <t>VN</t>
  </si>
  <si>
    <t>EUR.1-FTR1222603025-1</t>
  </si>
  <si>
    <t>EUR.1-FTR1222603025-2</t>
  </si>
  <si>
    <t>EUR.1-FTR1222603025-3</t>
  </si>
  <si>
    <t>YUSUF DÖNÜLÜ</t>
  </si>
  <si>
    <t>FTR1222603028</t>
  </si>
  <si>
    <t>FOB - Tokyo</t>
  </si>
  <si>
    <t>Japonya İthalat Ltd., Tokyo</t>
  </si>
  <si>
    <t>REF1222603028</t>
  </si>
  <si>
    <t>JP</t>
  </si>
  <si>
    <t>EUR.1-FTR1222603028-1</t>
  </si>
  <si>
    <t>EUR.1-FTR1222603028-2</t>
  </si>
  <si>
    <t>EUR.1-FTR1222603028-3</t>
  </si>
  <si>
    <t>ALKAN KILIÇ</t>
  </si>
  <si>
    <t>FTR1222603029</t>
  </si>
  <si>
    <t>FOB - Mumbai</t>
  </si>
  <si>
    <t>Hindistan İthalat Ltd., Mumbai</t>
  </si>
  <si>
    <t>REF1222603029</t>
  </si>
  <si>
    <t>IN</t>
  </si>
  <si>
    <t>TR33 0006 1000 0001 2345 6789 01</t>
  </si>
  <si>
    <t>EUR.1-FTR1222603029-1</t>
  </si>
  <si>
    <t>EUR.1-FTR1222603029-2</t>
  </si>
  <si>
    <t>EUR.1-FTR1222603029-3</t>
  </si>
  <si>
    <t>HELİN CATUK</t>
  </si>
  <si>
    <t>FTR1222603030</t>
  </si>
  <si>
    <t>FOB - Şanghay</t>
  </si>
  <si>
    <t>Çin İthalat Ltd., Şanghay</t>
  </si>
  <si>
    <t>REF1222603030</t>
  </si>
  <si>
    <t>EUR.1-FTR1222603030-1</t>
  </si>
  <si>
    <t>EUR.1-FTR1222603030-2</t>
  </si>
  <si>
    <t>EUR.1-FTR1222603030-3</t>
  </si>
  <si>
    <t>BARIŞ AYDEMİR</t>
  </si>
  <si>
    <t>FTR1222603031</t>
  </si>
  <si>
    <t>REF1222603031</t>
  </si>
  <si>
    <t>ATR-FTR1222603031-1</t>
  </si>
  <si>
    <t>ATR-FTR1222603031-2</t>
  </si>
  <si>
    <t>ATR-FTR1222603031-3</t>
  </si>
  <si>
    <t>YUNUS EMRE KARAY</t>
  </si>
  <si>
    <t>FTR1222603032</t>
  </si>
  <si>
    <t>REF1222603032</t>
  </si>
  <si>
    <t>ATR-FTR1222603032-1</t>
  </si>
  <si>
    <t>ATR-FTR1222603032-2</t>
  </si>
  <si>
    <t>ATR-FTR1222603032-3</t>
  </si>
  <si>
    <t>ŞEYDA YILDIRIM</t>
  </si>
  <si>
    <t>FTR1222603033</t>
  </si>
  <si>
    <t>REF1222603033</t>
  </si>
  <si>
    <t>ATR-FTR1222603033-1</t>
  </si>
  <si>
    <t>ATR-FTR1222603033-2</t>
  </si>
  <si>
    <t>ATR-FTR1222603033-3</t>
  </si>
  <si>
    <t>HAMDİ GÜRKAN YILDIK</t>
  </si>
  <si>
    <t>FTR1222603034</t>
  </si>
  <si>
    <t>REF1222603034</t>
  </si>
  <si>
    <t>ATR-FTR1222603034-1</t>
  </si>
  <si>
    <t>ATR-FTR1222603034-2</t>
  </si>
  <si>
    <t>ATR-FTR1222603034-3</t>
  </si>
  <si>
    <t>EYYÜP CURUN</t>
  </si>
  <si>
    <t>FTR1222603035</t>
  </si>
  <si>
    <t>REF1222603035</t>
  </si>
  <si>
    <t>ATR-FTR1222603035-1</t>
  </si>
  <si>
    <t>EUR.1-FTR1222603035-2</t>
  </si>
  <si>
    <t>EUR.1-FTR1222603035-3</t>
  </si>
  <si>
    <t>MURAT ÇAKIR</t>
  </si>
  <si>
    <t>FTR1222603036</t>
  </si>
  <si>
    <t>REF1222603036</t>
  </si>
  <si>
    <t>ATR-FTR1222603036-1</t>
  </si>
  <si>
    <t>ATR-FTR1222603036-2</t>
  </si>
  <si>
    <t>ATR-FTR1222603036-3</t>
  </si>
  <si>
    <t>AZRA AYYILDIZ</t>
  </si>
  <si>
    <t>FTR1222603037</t>
  </si>
  <si>
    <t>REF1222603037</t>
  </si>
  <si>
    <t>ATR-FTR1222603037-1</t>
  </si>
  <si>
    <t>ATR-FTR1222603037-2</t>
  </si>
  <si>
    <t>ATR-FTR1222603037-3</t>
  </si>
  <si>
    <t>CEREN DİKİLİ</t>
  </si>
  <si>
    <t>FTR1222603038</t>
  </si>
  <si>
    <t>REF1222603038</t>
  </si>
  <si>
    <t>ATR-FTR1222603038-1</t>
  </si>
  <si>
    <t>ATR-FTR1222603038-2</t>
  </si>
  <si>
    <t>ATR-FTR1222603038-3</t>
  </si>
  <si>
    <t>DENİZ KUTLU</t>
  </si>
  <si>
    <t>FTR1222603039</t>
  </si>
  <si>
    <t>REF1222603039</t>
  </si>
  <si>
    <t>ATR-FTR1222603039-1</t>
  </si>
  <si>
    <t>ATR-FTR1222603039-2</t>
  </si>
  <si>
    <t>ATR-FTR1222603039-3</t>
  </si>
  <si>
    <t>HELİN URAL</t>
  </si>
  <si>
    <t>FTR1222603042</t>
  </si>
  <si>
    <t>REF1222603042</t>
  </si>
  <si>
    <t>ATR-FTR1222603042-1</t>
  </si>
  <si>
    <t>ATR-FTR1222603042-2</t>
  </si>
  <si>
    <t>ATR-FTR1222603042-3</t>
  </si>
  <si>
    <t>MÜBECCEL EYLÜL YAŞAYAN</t>
  </si>
  <si>
    <t>FTR1222603043</t>
  </si>
  <si>
    <t>REF1222603043</t>
  </si>
  <si>
    <t>ATR-FTR1222603043-1</t>
  </si>
  <si>
    <t>ATR-FTR1222603043-2</t>
  </si>
  <si>
    <t>ATR-FTR1222603043-3</t>
  </si>
  <si>
    <t>SUDENAZ ZEYNEP SEVİNÇ</t>
  </si>
  <si>
    <t>FTR1222603044</t>
  </si>
  <si>
    <t>REF1222603044</t>
  </si>
  <si>
    <t>TR77 0001 5000 0005 6789 0123 45</t>
  </si>
  <si>
    <t>EUR.1-FTR1222603044-1</t>
  </si>
  <si>
    <t>EUR.1-FTR1222603044-2</t>
  </si>
  <si>
    <t>EUR.1-FTR1222603044-3</t>
  </si>
  <si>
    <t>HÜLYA ÖZCAN</t>
  </si>
  <si>
    <t>FTR1222603045</t>
  </si>
  <si>
    <t>REF1222603045</t>
  </si>
  <si>
    <t>EUR.1-FTR1222603045-1</t>
  </si>
  <si>
    <t>EUR.1-FTR1222603045-2</t>
  </si>
  <si>
    <t>EUR.1-FTR1222603045-3</t>
  </si>
  <si>
    <t>MUSTAFA YUNUS</t>
  </si>
  <si>
    <t>FTR1222603046</t>
  </si>
  <si>
    <t>REF1222603046</t>
  </si>
  <si>
    <t>EUR.1-FTR1222603046-1</t>
  </si>
  <si>
    <t>EUR.1-FTR1222603046-2</t>
  </si>
  <si>
    <t>EUR.1-FTR1222603046-3</t>
  </si>
  <si>
    <t>MERYEM KAYAOĞLU</t>
  </si>
  <si>
    <t>FTR1222603047</t>
  </si>
  <si>
    <t>REF1222603047</t>
  </si>
  <si>
    <t>EUR.1-FTR1222603047-1</t>
  </si>
  <si>
    <t>EUR.1-FTR1222603047-2</t>
  </si>
  <si>
    <t>EUR.1-FTR1222603047-3</t>
  </si>
  <si>
    <t>FURKAN SARI</t>
  </si>
  <si>
    <t>FTR1222603048</t>
  </si>
  <si>
    <t>REF1222603048</t>
  </si>
  <si>
    <t>EUR.1-FTR1222603048-1</t>
  </si>
  <si>
    <t>EUR.1-FTR1222603048-2</t>
  </si>
  <si>
    <t>EUR.1-FTR1222603048-3</t>
  </si>
  <si>
    <t>HALİL İBRAHİM YIRTICI</t>
  </si>
  <si>
    <t>FTR1222603049</t>
  </si>
  <si>
    <t>REF1222603049</t>
  </si>
  <si>
    <t>EUR.1-FTR1222603049-1</t>
  </si>
  <si>
    <t>EUR.1-FTR1222603049-2</t>
  </si>
  <si>
    <t>EUR.1-FTR1222603049-3</t>
  </si>
  <si>
    <t>TUĞRUL SAMET YAVUZ</t>
  </si>
  <si>
    <t>FTR1222603050</t>
  </si>
  <si>
    <t>REF1222603050</t>
  </si>
  <si>
    <t>EUR.1-FTR1222603050-1</t>
  </si>
  <si>
    <t>EUR.1-FTR1222603050-2</t>
  </si>
  <si>
    <t>EUR.1-FTR1222603050-3</t>
  </si>
  <si>
    <t>ŞİLAN İREM KANDEMİR</t>
  </si>
  <si>
    <t>FTR1222603051</t>
  </si>
  <si>
    <t>REF1222603051</t>
  </si>
  <si>
    <t>TR99 0011 1000 0007 8901 2345 67</t>
  </si>
  <si>
    <t>EUR.1-FTR1222603051-1</t>
  </si>
  <si>
    <t>EUR.1-FTR1222603051-2</t>
  </si>
  <si>
    <t>EUR.1-FTR1222603051-3</t>
  </si>
  <si>
    <t>MERVE KARAMAN</t>
  </si>
  <si>
    <t>FTR1222603052</t>
  </si>
  <si>
    <t>REF1222603052</t>
  </si>
  <si>
    <t>EUR.1-FTR1222603052-1</t>
  </si>
  <si>
    <t>EUR.1-FTR1222603052-2</t>
  </si>
  <si>
    <t>EUR.1-FTR1222603052-3</t>
  </si>
  <si>
    <t>ENES BOY</t>
  </si>
  <si>
    <t>FTR1222603053</t>
  </si>
  <si>
    <t>REF1222603053</t>
  </si>
  <si>
    <t>EUR.1-FTR1222603053-1</t>
  </si>
  <si>
    <t>EUR.1-FTR1222603053-2</t>
  </si>
  <si>
    <t>EUR.1-FTR1222603053-3</t>
  </si>
  <si>
    <t>TANYA ALPAT</t>
  </si>
  <si>
    <t>FTR1222603054</t>
  </si>
  <si>
    <t>REF1222603054</t>
  </si>
  <si>
    <t>EUR.1-FTR1222603054-1</t>
  </si>
  <si>
    <t>EUR.1-FTR1222603054-2</t>
  </si>
  <si>
    <t>EUR.1-FTR1222603054-3</t>
  </si>
  <si>
    <t>EFE UMURAL</t>
  </si>
  <si>
    <t>FTR1222603056</t>
  </si>
  <si>
    <t>REF1222603056</t>
  </si>
  <si>
    <t>EUR.1-FTR1222603056-1</t>
  </si>
  <si>
    <t>EUR.1-FTR1222603056-2</t>
  </si>
  <si>
    <t>EUR.1-FTR1222603056-3</t>
  </si>
  <si>
    <t>ZEYNEP SUDE GÜÇLÜ</t>
  </si>
  <si>
    <t>FTR1222603057</t>
  </si>
  <si>
    <t>REF1222603057</t>
  </si>
  <si>
    <t>EUR.1-FTR1222603057-1</t>
  </si>
  <si>
    <t>EUR.1-FTR1222603057-2</t>
  </si>
  <si>
    <t>EUR.1-FTR1222603057-3</t>
  </si>
  <si>
    <t>ALİ ARSLANHAN</t>
  </si>
  <si>
    <t>FTR1222603058</t>
  </si>
  <si>
    <t>REF1222603058</t>
  </si>
  <si>
    <t>ATR-FTR1222603058-1</t>
  </si>
  <si>
    <t>ATR-FTR1222603058-2</t>
  </si>
  <si>
    <t>ATR-FTR1222603058-3</t>
  </si>
  <si>
    <t>ELANUR EKİNCİ</t>
  </si>
  <si>
    <t>FTR1222603059</t>
  </si>
  <si>
    <t>REF1222603059</t>
  </si>
  <si>
    <t>ATR-FTR1222603059-1</t>
  </si>
  <si>
    <t>EUR.1-FTR1222603059-2</t>
  </si>
  <si>
    <t>EUR.1-FTR1222603059-3</t>
  </si>
  <si>
    <t>GÖZDE BOSTAN</t>
  </si>
  <si>
    <t>FTR1222603060</t>
  </si>
  <si>
    <t>REF1222603060</t>
  </si>
  <si>
    <t>ATR-FTR1222603060-1</t>
  </si>
  <si>
    <t>ATR-FTR1222603060-2</t>
  </si>
  <si>
    <t>ATR-FTR1222603060-3</t>
  </si>
  <si>
    <t>ABDULLAH BOZDEMİR</t>
  </si>
  <si>
    <t>FTR1222603061</t>
  </si>
  <si>
    <t>REF1222603061</t>
  </si>
  <si>
    <t>ATR-FTR1222603061-1</t>
  </si>
  <si>
    <t>ATR-FTR1222603061-2</t>
  </si>
  <si>
    <t>ATR-FTR1222603061-3</t>
  </si>
  <si>
    <t>YUNUS EMRE YAĞMUROĞLU</t>
  </si>
  <si>
    <t>FTR1222603062</t>
  </si>
  <si>
    <t>REF1222603062</t>
  </si>
  <si>
    <t>ATR-FTR1222603062-1</t>
  </si>
  <si>
    <t>ATR-FTR1222603062-2</t>
  </si>
  <si>
    <t>ATR-FTR1222603062-3</t>
  </si>
  <si>
    <t>ŞİHO KAYALI</t>
  </si>
  <si>
    <t>FTR1222603064</t>
  </si>
  <si>
    <t>REF1222603064</t>
  </si>
  <si>
    <t>ATR-FTR1222603064-1</t>
  </si>
  <si>
    <t>ATR-FTR1222603064-2</t>
  </si>
  <si>
    <t>ATR-FTR1222603064-3</t>
  </si>
  <si>
    <t>PELİN ATEŞ</t>
  </si>
  <si>
    <t>FTR1222603601</t>
  </si>
  <si>
    <t>REF1222603601</t>
  </si>
  <si>
    <t>ATR-FTR1222603601-1</t>
  </si>
  <si>
    <t>ATR-FTR1222603601-2</t>
  </si>
  <si>
    <t>ATR-FTR1222603601-3</t>
  </si>
  <si>
    <t>DİLARA TEMİZ</t>
  </si>
  <si>
    <t>FTR1232603801</t>
  </si>
  <si>
    <t>REF1232603801</t>
  </si>
  <si>
    <t>ATR-FTR1232603801-1</t>
  </si>
  <si>
    <t>ATR-FTR1232603801-2</t>
  </si>
  <si>
    <t>ATR-FTR1232603801-3</t>
  </si>
  <si>
    <t>Rasgele</t>
  </si>
  <si>
    <t>Ödev_No</t>
  </si>
  <si>
    <t>Son_Teslim</t>
  </si>
  <si>
    <t>Boşaltma_Yeri</t>
  </si>
  <si>
    <t>Rejim_Kodu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</si>
</sst>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7"/>
  <sheetViews>
    <sheetView tabSelected="1" topLeftCell="CE1" workbookViewId="0">
      <selection activeCell="CR2" sqref="CR2"/>
    </sheetView>
  </sheetViews>
  <sheetFormatPr defaultRowHeight="14.5" x14ac:dyDescent="0.35"/>
  <cols>
    <col min="1" max="1" width="20.81640625" customWidth="1"/>
    <col min="2" max="2" width="25.36328125" customWidth="1"/>
    <col min="3" max="3" width="19.90625" customWidth="1"/>
    <col min="4" max="4" width="20.1796875" customWidth="1"/>
    <col min="5" max="5" width="15.36328125" customWidth="1"/>
    <col min="6" max="6" width="48" customWidth="1"/>
    <col min="7" max="7" width="34.90625" customWidth="1"/>
    <col min="8" max="8" width="22.6328125" customWidth="1"/>
    <col min="9" max="9" width="19.81640625" customWidth="1"/>
    <col min="10" max="10" width="9.90625" customWidth="1"/>
    <col min="11" max="11" width="24.6328125" customWidth="1"/>
    <col min="12" max="12" width="14.6328125" customWidth="1"/>
    <col min="13" max="13" width="16.1796875" customWidth="1"/>
    <col min="14" max="14" width="31.36328125" customWidth="1"/>
    <col min="15" max="15" width="24.08984375" customWidth="1"/>
    <col min="16" max="16" width="28.08984375" customWidth="1"/>
    <col min="17" max="17" width="21.90625" customWidth="1"/>
    <col min="18" max="18" width="24.453125" customWidth="1"/>
    <col min="19" max="19" width="23.08984375" customWidth="1"/>
    <col min="20" max="20" width="19.54296875" customWidth="1"/>
    <col min="21" max="21" width="20.81640625" customWidth="1"/>
    <col min="22" max="22" width="22" customWidth="1"/>
    <col min="23" max="23" width="16.7265625" customWidth="1"/>
    <col min="24" max="24" width="25" customWidth="1"/>
    <col min="25" max="25" width="23.81640625" customWidth="1"/>
    <col min="26" max="26" width="16.26953125" customWidth="1"/>
    <col min="27" max="27" width="25.36328125" customWidth="1"/>
    <col min="28" max="28" width="26.08984375" customWidth="1"/>
    <col min="29" max="29" width="15.90625" customWidth="1"/>
    <col min="30" max="30" width="30.08984375" customWidth="1"/>
    <col min="31" max="31" width="16.6328125" style="3" customWidth="1"/>
    <col min="32" max="32" width="18.26953125" customWidth="1"/>
    <col min="33" max="33" width="23.26953125" customWidth="1"/>
    <col min="34" max="34" width="15.453125" customWidth="1"/>
    <col min="35" max="35" width="16.36328125" customWidth="1"/>
    <col min="36" max="36" width="20" customWidth="1"/>
    <col min="37" max="37" width="20.6328125" customWidth="1"/>
    <col min="38" max="38" width="28.54296875" customWidth="1"/>
    <col min="39" max="39" width="18.08984375" style="6" customWidth="1"/>
    <col min="40" max="40" width="26.54296875" style="6" customWidth="1"/>
    <col min="41" max="42" width="19.26953125" style="6" customWidth="1"/>
    <col min="43" max="43" width="17.1796875" style="6" customWidth="1"/>
    <col min="44" max="44" width="17" customWidth="1"/>
    <col min="45" max="45" width="9.81640625" style="6" customWidth="1"/>
    <col min="46" max="47" width="10.90625" style="6" customWidth="1"/>
    <col min="48" max="48" width="21.7265625" style="6" customWidth="1"/>
    <col min="49" max="49" width="19.26953125" style="6" customWidth="1"/>
    <col min="50" max="50" width="20.26953125" customWidth="1"/>
    <col min="51" max="51" width="23.36328125" customWidth="1"/>
    <col min="52" max="52" width="16.6328125" style="3" customWidth="1"/>
    <col min="53" max="53" width="18.26953125" customWidth="1"/>
    <col min="54" max="54" width="23.26953125" customWidth="1"/>
    <col min="55" max="55" width="15.453125" customWidth="1"/>
    <col min="56" max="56" width="16.36328125" customWidth="1"/>
    <col min="57" max="57" width="20" customWidth="1"/>
    <col min="58" max="58" width="20.6328125" customWidth="1"/>
    <col min="59" max="59" width="28.54296875" customWidth="1"/>
    <col min="60" max="60" width="18.08984375" style="6" customWidth="1"/>
    <col min="61" max="61" width="26.54296875" style="6" customWidth="1"/>
    <col min="62" max="63" width="19.26953125" style="6" customWidth="1"/>
    <col min="64" max="64" width="17.1796875" style="6" customWidth="1"/>
    <col min="65" max="65" width="17" style="6" customWidth="1"/>
    <col min="66" max="66" width="9.81640625" style="6" customWidth="1"/>
    <col min="67" max="68" width="10.90625" style="6" customWidth="1"/>
    <col min="69" max="69" width="21.7265625" style="6" customWidth="1"/>
    <col min="70" max="70" width="19.26953125" style="6" customWidth="1"/>
    <col min="71" max="71" width="20.26953125" customWidth="1"/>
    <col min="72" max="72" width="23.36328125" customWidth="1"/>
    <col min="73" max="73" width="16.6328125" style="3" customWidth="1"/>
    <col min="74" max="74" width="18.26953125" customWidth="1"/>
    <col min="75" max="75" width="23.26953125" customWidth="1"/>
    <col min="76" max="76" width="15.453125" customWidth="1"/>
    <col min="77" max="77" width="16.36328125" customWidth="1"/>
    <col min="78" max="78" width="20" customWidth="1"/>
    <col min="79" max="79" width="20.6328125" customWidth="1"/>
    <col min="80" max="80" width="28.54296875" customWidth="1"/>
    <col min="81" max="81" width="18.08984375" style="6" customWidth="1"/>
    <col min="82" max="82" width="26.54296875" style="6" customWidth="1"/>
    <col min="83" max="84" width="19.26953125" style="6" customWidth="1"/>
    <col min="85" max="85" width="17.1796875" style="6" customWidth="1"/>
    <col min="86" max="86" width="17" style="6" customWidth="1"/>
    <col min="87" max="87" width="9.81640625" style="6" customWidth="1"/>
    <col min="88" max="89" width="10.90625" style="6" customWidth="1"/>
    <col min="90" max="90" width="21.7265625" style="6" customWidth="1"/>
    <col min="91" max="91" width="19.26953125" style="6" customWidth="1"/>
    <col min="92" max="92" width="20.26953125" customWidth="1"/>
    <col min="93" max="93" width="23.36328125" customWidth="1"/>
    <col min="94" max="94" width="11.81640625" customWidth="1"/>
    <col min="95" max="95" width="8.7265625" customWidth="1"/>
    <col min="96" max="96" width="15" bestFit="1" customWidth="1"/>
  </cols>
  <sheetData>
    <row r="1" spans="1:97" x14ac:dyDescent="0.35">
      <c r="A1" s="4" t="s">
        <v>0</v>
      </c>
      <c r="B1" s="4" t="s">
        <v>1</v>
      </c>
      <c r="C1" s="4" t="s">
        <v>2</v>
      </c>
      <c r="D1" s="1" t="s">
        <v>3</v>
      </c>
      <c r="E1" s="1" t="s">
        <v>554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1" t="s">
        <v>10</v>
      </c>
      <c r="M1" s="1" t="s">
        <v>11</v>
      </c>
      <c r="N1" s="4" t="s">
        <v>12</v>
      </c>
      <c r="O1" s="1" t="s">
        <v>13</v>
      </c>
      <c r="P1" s="1" t="s">
        <v>14</v>
      </c>
      <c r="Q1" s="4" t="s">
        <v>15</v>
      </c>
      <c r="R1" s="4" t="s">
        <v>16</v>
      </c>
      <c r="S1" s="4" t="s">
        <v>17</v>
      </c>
      <c r="T1" s="1" t="s">
        <v>18</v>
      </c>
      <c r="U1" s="4" t="s">
        <v>19</v>
      </c>
      <c r="V1" s="4" t="s">
        <v>20</v>
      </c>
      <c r="W1" s="4" t="s">
        <v>553</v>
      </c>
      <c r="X1" s="4" t="s">
        <v>21</v>
      </c>
      <c r="Y1" s="4" t="s">
        <v>22</v>
      </c>
      <c r="Z1" s="4" t="s">
        <v>23</v>
      </c>
      <c r="AA1" s="1" t="s">
        <v>24</v>
      </c>
      <c r="AB1" s="1" t="s">
        <v>25</v>
      </c>
      <c r="AC1" s="4" t="s">
        <v>26</v>
      </c>
      <c r="AD1" s="4" t="s">
        <v>27</v>
      </c>
      <c r="AE1" s="5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1" t="s">
        <v>35</v>
      </c>
      <c r="AM1" s="8" t="s">
        <v>36</v>
      </c>
      <c r="AN1" s="8" t="s">
        <v>37</v>
      </c>
      <c r="AO1" s="8" t="s">
        <v>38</v>
      </c>
      <c r="AP1" s="8" t="s">
        <v>39</v>
      </c>
      <c r="AQ1" s="8" t="s">
        <v>40</v>
      </c>
      <c r="AR1" s="1" t="s">
        <v>41</v>
      </c>
      <c r="AS1" s="8" t="s">
        <v>42</v>
      </c>
      <c r="AT1" s="8" t="s">
        <v>43</v>
      </c>
      <c r="AU1" s="8" t="s">
        <v>44</v>
      </c>
      <c r="AV1" s="8" t="s">
        <v>45</v>
      </c>
      <c r="AW1" s="8" t="s">
        <v>46</v>
      </c>
      <c r="AX1" s="4" t="s">
        <v>47</v>
      </c>
      <c r="AY1" s="4" t="s">
        <v>48</v>
      </c>
      <c r="AZ1" s="2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9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9" t="s">
        <v>65</v>
      </c>
      <c r="BQ1" s="9" t="s">
        <v>66</v>
      </c>
      <c r="BR1" s="9" t="s">
        <v>67</v>
      </c>
      <c r="BS1" s="1" t="s">
        <v>68</v>
      </c>
      <c r="BT1" s="1" t="s">
        <v>69</v>
      </c>
      <c r="BU1" s="2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9" t="s">
        <v>78</v>
      </c>
      <c r="CD1" s="9" t="s">
        <v>79</v>
      </c>
      <c r="CE1" s="9" t="s">
        <v>80</v>
      </c>
      <c r="CF1" s="9" t="s">
        <v>81</v>
      </c>
      <c r="CG1" s="9" t="s">
        <v>82</v>
      </c>
      <c r="CH1" s="9" t="s">
        <v>83</v>
      </c>
      <c r="CI1" s="9" t="s">
        <v>84</v>
      </c>
      <c r="CJ1" s="9" t="s">
        <v>85</v>
      </c>
      <c r="CK1" s="9" t="s">
        <v>86</v>
      </c>
      <c r="CL1" s="9" t="s">
        <v>87</v>
      </c>
      <c r="CM1" s="9" t="s">
        <v>88</v>
      </c>
      <c r="CN1" s="1" t="s">
        <v>89</v>
      </c>
      <c r="CO1" s="1" t="s">
        <v>90</v>
      </c>
      <c r="CP1" s="7" t="s">
        <v>550</v>
      </c>
      <c r="CQ1" s="7" t="s">
        <v>551</v>
      </c>
      <c r="CR1" s="7" t="s">
        <v>552</v>
      </c>
      <c r="CS1" s="7"/>
    </row>
    <row r="2" spans="1:97" x14ac:dyDescent="0.35">
      <c r="A2">
        <v>1222603002</v>
      </c>
      <c r="B2" t="s">
        <v>91</v>
      </c>
      <c r="C2" t="s">
        <v>266</v>
      </c>
      <c r="D2" t="s">
        <v>93</v>
      </c>
      <c r="E2">
        <v>4000</v>
      </c>
      <c r="F2" t="s">
        <v>94</v>
      </c>
      <c r="G2" t="s">
        <v>95</v>
      </c>
      <c r="H2" t="s">
        <v>96</v>
      </c>
      <c r="I2" t="s">
        <v>267</v>
      </c>
      <c r="J2" t="s">
        <v>176</v>
      </c>
      <c r="K2" s="6">
        <f t="shared" ref="K2:K33" si="0">AW2+BR2+CM2</f>
        <v>2573.4596270000002</v>
      </c>
      <c r="L2" t="s">
        <v>99</v>
      </c>
      <c r="M2" t="s">
        <v>100</v>
      </c>
      <c r="N2" t="s">
        <v>268</v>
      </c>
      <c r="O2" t="s">
        <v>96</v>
      </c>
      <c r="P2" t="s">
        <v>96</v>
      </c>
      <c r="Q2" t="s">
        <v>269</v>
      </c>
      <c r="R2" t="s">
        <v>270</v>
      </c>
      <c r="S2" t="s">
        <v>104</v>
      </c>
      <c r="T2">
        <v>0</v>
      </c>
      <c r="U2">
        <v>30</v>
      </c>
      <c r="V2">
        <v>30</v>
      </c>
      <c r="W2" t="s">
        <v>105</v>
      </c>
      <c r="X2" t="s">
        <v>106</v>
      </c>
      <c r="Y2" t="s">
        <v>107</v>
      </c>
      <c r="Z2" t="s">
        <v>108</v>
      </c>
      <c r="AA2">
        <v>384</v>
      </c>
      <c r="AB2">
        <v>399</v>
      </c>
      <c r="AC2" t="s">
        <v>109</v>
      </c>
      <c r="AD2" t="s">
        <v>180</v>
      </c>
      <c r="AE2" s="3">
        <v>190531990000</v>
      </c>
      <c r="AF2" t="s">
        <v>111</v>
      </c>
      <c r="AG2" t="s">
        <v>270</v>
      </c>
      <c r="AH2" t="s">
        <v>112</v>
      </c>
      <c r="AI2">
        <v>8</v>
      </c>
      <c r="AJ2">
        <v>128</v>
      </c>
      <c r="AK2">
        <v>133</v>
      </c>
      <c r="AL2" t="s">
        <v>113</v>
      </c>
      <c r="AM2" s="6">
        <v>554.96</v>
      </c>
      <c r="AN2" s="6">
        <f>AM2*1.08</f>
        <v>599.35680000000013</v>
      </c>
      <c r="AO2" s="6">
        <f t="shared" ref="AO2:AO33" si="1">AM2*0.1</f>
        <v>55.496000000000009</v>
      </c>
      <c r="AP2" s="6">
        <f t="shared" ref="AP2:AP33" si="2">AM2*0.03</f>
        <v>16.648800000000001</v>
      </c>
      <c r="AQ2" s="6">
        <f t="shared" ref="AQ2:AQ33" si="3">AM2+AO2+AP2</f>
        <v>627.10480000000007</v>
      </c>
      <c r="AR2">
        <v>501</v>
      </c>
      <c r="AS2" s="6">
        <f>AQ2*1.1</f>
        <v>689.81528000000014</v>
      </c>
      <c r="AT2" s="6">
        <v>0</v>
      </c>
      <c r="AU2" s="6">
        <f>AS2*1.2</f>
        <v>827.77833600000019</v>
      </c>
      <c r="AV2" s="6">
        <f>AU2-AQ2</f>
        <v>200.67353600000013</v>
      </c>
      <c r="AW2" s="6">
        <f>AU2</f>
        <v>827.77833600000019</v>
      </c>
      <c r="AX2" t="s">
        <v>118</v>
      </c>
      <c r="AY2" t="s">
        <v>271</v>
      </c>
      <c r="AZ2" s="3">
        <v>804100000000</v>
      </c>
      <c r="BA2" t="s">
        <v>116</v>
      </c>
      <c r="BB2" t="s">
        <v>270</v>
      </c>
      <c r="BC2" t="s">
        <v>117</v>
      </c>
      <c r="BD2">
        <v>19</v>
      </c>
      <c r="BE2">
        <v>128</v>
      </c>
      <c r="BF2">
        <v>133</v>
      </c>
      <c r="BG2" t="s">
        <v>113</v>
      </c>
      <c r="BH2" s="6">
        <v>695.12</v>
      </c>
      <c r="BI2" s="6">
        <f>BH2*1.08</f>
        <v>750.7296</v>
      </c>
      <c r="BJ2" s="6">
        <f t="shared" ref="BJ2:BJ33" si="4">BH2*0.1</f>
        <v>69.512</v>
      </c>
      <c r="BK2" s="6">
        <f t="shared" ref="BK2:BK33" si="5">BH2*0.03</f>
        <v>20.8536</v>
      </c>
      <c r="BL2" s="6">
        <f t="shared" ref="BL2:BL33" si="6">BH2+BJ2+BK2</f>
        <v>785.48560000000009</v>
      </c>
      <c r="BM2" s="6">
        <v>501</v>
      </c>
      <c r="BN2" s="6">
        <v>0</v>
      </c>
      <c r="BO2" s="6">
        <v>0</v>
      </c>
      <c r="BP2" s="6">
        <f>BL2*1.2</f>
        <v>942.58272000000011</v>
      </c>
      <c r="BQ2" s="6">
        <f t="shared" ref="BQ2:BQ33" si="7">BP2-BL2</f>
        <v>157.09712000000002</v>
      </c>
      <c r="BR2" s="6">
        <f t="shared" ref="BR2:BR33" si="8">BP2</f>
        <v>942.58272000000011</v>
      </c>
      <c r="BS2" t="s">
        <v>118</v>
      </c>
      <c r="BT2" t="s">
        <v>272</v>
      </c>
      <c r="BU2" s="3">
        <v>100199000000</v>
      </c>
      <c r="BV2" t="s">
        <v>120</v>
      </c>
      <c r="BW2" t="s">
        <v>270</v>
      </c>
      <c r="BX2" t="s">
        <v>117</v>
      </c>
      <c r="BY2">
        <v>10</v>
      </c>
      <c r="BZ2">
        <v>128</v>
      </c>
      <c r="CA2">
        <v>133</v>
      </c>
      <c r="CB2" t="s">
        <v>113</v>
      </c>
      <c r="CC2" s="6">
        <v>703.67</v>
      </c>
      <c r="CD2" s="6">
        <f>CC2*1.08</f>
        <v>759.96360000000004</v>
      </c>
      <c r="CE2" s="6">
        <f t="shared" ref="CE2:CE33" si="9">CC2*0.1</f>
        <v>70.367000000000004</v>
      </c>
      <c r="CF2" s="6">
        <f t="shared" ref="CF2:CF33" si="10">CC2*0.03</f>
        <v>21.110099999999999</v>
      </c>
      <c r="CG2" s="6">
        <f t="shared" ref="CG2:CG33" si="11">CC2+CE2+CF2</f>
        <v>795.14709999999991</v>
      </c>
      <c r="CH2" s="6">
        <v>501</v>
      </c>
      <c r="CI2" s="6">
        <v>0</v>
      </c>
      <c r="CJ2" s="6">
        <v>0</v>
      </c>
      <c r="CK2" s="6">
        <f>CG2*1.01</f>
        <v>803.09857099999988</v>
      </c>
      <c r="CL2" s="6">
        <f t="shared" ref="CL2:CL33" si="12">CK2-CG2</f>
        <v>7.9514709999999695</v>
      </c>
      <c r="CM2" s="6">
        <f t="shared" ref="CM2:CM33" si="13">CK2</f>
        <v>803.09857099999988</v>
      </c>
      <c r="CN2" t="s">
        <v>118</v>
      </c>
      <c r="CO2" t="s">
        <v>273</v>
      </c>
      <c r="CP2">
        <f t="shared" ref="CP2:CP33" ca="1" si="14">RAND()</f>
        <v>0.73749831401699018</v>
      </c>
      <c r="CQ2">
        <v>1</v>
      </c>
      <c r="CR2" s="10" t="str">
        <f>"20.12.2025 22:00"</f>
        <v>20.12.2025 22:00</v>
      </c>
    </row>
    <row r="3" spans="1:97" x14ac:dyDescent="0.35">
      <c r="A3">
        <v>1222603003</v>
      </c>
      <c r="B3" t="s">
        <v>122</v>
      </c>
      <c r="C3" t="s">
        <v>545</v>
      </c>
      <c r="D3" t="s">
        <v>93</v>
      </c>
      <c r="E3">
        <v>4000</v>
      </c>
      <c r="F3" t="s">
        <v>94</v>
      </c>
      <c r="G3" t="s">
        <v>95</v>
      </c>
      <c r="H3" t="s">
        <v>96</v>
      </c>
      <c r="I3" t="s">
        <v>203</v>
      </c>
      <c r="J3" t="s">
        <v>98</v>
      </c>
      <c r="K3" s="6">
        <f t="shared" si="0"/>
        <v>36146.479776</v>
      </c>
      <c r="L3" t="s">
        <v>99</v>
      </c>
      <c r="M3" t="s">
        <v>100</v>
      </c>
      <c r="N3" t="s">
        <v>204</v>
      </c>
      <c r="O3" t="s">
        <v>96</v>
      </c>
      <c r="P3" t="s">
        <v>96</v>
      </c>
      <c r="Q3" t="s">
        <v>546</v>
      </c>
      <c r="R3" t="s">
        <v>206</v>
      </c>
      <c r="S3" t="s">
        <v>104</v>
      </c>
      <c r="T3">
        <v>0</v>
      </c>
      <c r="U3">
        <v>30</v>
      </c>
      <c r="V3">
        <v>30</v>
      </c>
      <c r="W3" t="s">
        <v>105</v>
      </c>
      <c r="X3" t="s">
        <v>106</v>
      </c>
      <c r="Y3" t="s">
        <v>107</v>
      </c>
      <c r="Z3" t="s">
        <v>108</v>
      </c>
      <c r="AA3">
        <v>630</v>
      </c>
      <c r="AB3">
        <v>645</v>
      </c>
      <c r="AC3" t="s">
        <v>109</v>
      </c>
      <c r="AD3" t="s">
        <v>193</v>
      </c>
      <c r="AE3" s="3">
        <v>870323190000</v>
      </c>
      <c r="AF3" t="s">
        <v>194</v>
      </c>
      <c r="AG3" t="s">
        <v>206</v>
      </c>
      <c r="AH3" t="s">
        <v>195</v>
      </c>
      <c r="AI3">
        <v>13</v>
      </c>
      <c r="AJ3">
        <v>210</v>
      </c>
      <c r="AK3">
        <v>215</v>
      </c>
      <c r="AL3" t="s">
        <v>113</v>
      </c>
      <c r="AM3" s="6">
        <v>7278.32</v>
      </c>
      <c r="AN3" s="6">
        <f>AM3*1.08</f>
        <v>7860.5856000000003</v>
      </c>
      <c r="AO3" s="6">
        <f t="shared" si="1"/>
        <v>727.83199999999999</v>
      </c>
      <c r="AP3" s="6">
        <f t="shared" si="2"/>
        <v>218.34959999999998</v>
      </c>
      <c r="AQ3" s="6">
        <f t="shared" si="3"/>
        <v>8224.5015999999996</v>
      </c>
      <c r="AR3">
        <v>602</v>
      </c>
      <c r="AS3" s="6">
        <v>0</v>
      </c>
      <c r="AT3" s="6">
        <f>AQ3*1.8</f>
        <v>14804.10288</v>
      </c>
      <c r="AU3" s="6">
        <f>AT3*1.2</f>
        <v>17764.923456</v>
      </c>
      <c r="AV3" s="6">
        <f>AU3-AQ3</f>
        <v>9540.4218560000008</v>
      </c>
      <c r="AW3" s="6">
        <f>AU3</f>
        <v>17764.923456</v>
      </c>
      <c r="AX3" t="s">
        <v>114</v>
      </c>
      <c r="AY3" t="s">
        <v>547</v>
      </c>
      <c r="AZ3" s="3">
        <v>842720000000</v>
      </c>
      <c r="BA3" t="s">
        <v>197</v>
      </c>
      <c r="BB3" t="s">
        <v>206</v>
      </c>
      <c r="BC3" t="s">
        <v>195</v>
      </c>
      <c r="BD3">
        <v>8</v>
      </c>
      <c r="BE3">
        <v>210</v>
      </c>
      <c r="BF3">
        <v>215</v>
      </c>
      <c r="BG3" t="s">
        <v>113</v>
      </c>
      <c r="BH3" s="6">
        <v>6163.81</v>
      </c>
      <c r="BI3" s="6">
        <f>BH3*1.08</f>
        <v>6656.9148000000005</v>
      </c>
      <c r="BJ3" s="6">
        <f t="shared" si="4"/>
        <v>616.38100000000009</v>
      </c>
      <c r="BK3" s="6">
        <f t="shared" si="5"/>
        <v>184.9143</v>
      </c>
      <c r="BL3" s="6">
        <f t="shared" si="6"/>
        <v>6965.1053000000011</v>
      </c>
      <c r="BM3" s="6">
        <v>501</v>
      </c>
      <c r="BN3" s="6">
        <v>0</v>
      </c>
      <c r="BO3" s="6">
        <v>0</v>
      </c>
      <c r="BP3" s="6">
        <f>BL3*1.2</f>
        <v>8358.1263600000002</v>
      </c>
      <c r="BQ3" s="6">
        <f t="shared" si="7"/>
        <v>1393.0210599999991</v>
      </c>
      <c r="BR3" s="6">
        <f t="shared" si="8"/>
        <v>8358.1263600000002</v>
      </c>
      <c r="BS3" t="s">
        <v>114</v>
      </c>
      <c r="BT3" t="s">
        <v>548</v>
      </c>
      <c r="BU3" s="3">
        <v>640399930000</v>
      </c>
      <c r="BV3" t="s">
        <v>199</v>
      </c>
      <c r="BW3" t="s">
        <v>206</v>
      </c>
      <c r="BX3" t="s">
        <v>112</v>
      </c>
      <c r="BY3">
        <v>17</v>
      </c>
      <c r="BZ3">
        <v>210</v>
      </c>
      <c r="CA3">
        <v>215</v>
      </c>
      <c r="CB3" t="s">
        <v>113</v>
      </c>
      <c r="CC3" s="6">
        <v>7391.91</v>
      </c>
      <c r="CD3" s="6">
        <f>CC3*1.08</f>
        <v>7983.2628000000004</v>
      </c>
      <c r="CE3" s="6">
        <f t="shared" si="9"/>
        <v>739.19100000000003</v>
      </c>
      <c r="CF3" s="6">
        <f t="shared" si="10"/>
        <v>221.75729999999999</v>
      </c>
      <c r="CG3" s="6">
        <f t="shared" si="11"/>
        <v>8352.8582999999999</v>
      </c>
      <c r="CH3" s="6">
        <v>501</v>
      </c>
      <c r="CI3" s="6">
        <v>0</v>
      </c>
      <c r="CJ3" s="6">
        <v>0</v>
      </c>
      <c r="CK3" s="6">
        <f>CG3*1.2</f>
        <v>10023.429959999999</v>
      </c>
      <c r="CL3" s="6">
        <f t="shared" si="12"/>
        <v>1670.5716599999996</v>
      </c>
      <c r="CM3" s="6">
        <f t="shared" si="13"/>
        <v>10023.429959999999</v>
      </c>
      <c r="CN3" t="s">
        <v>114</v>
      </c>
      <c r="CO3" t="s">
        <v>549</v>
      </c>
      <c r="CP3">
        <f t="shared" ca="1" si="14"/>
        <v>0.40970069810620524</v>
      </c>
      <c r="CQ3">
        <v>1</v>
      </c>
      <c r="CR3" s="10" t="str">
        <f t="shared" ref="CR3:CR57" si="15">"20.12.2025 22:00"</f>
        <v>20.12.2025 22:00</v>
      </c>
    </row>
    <row r="4" spans="1:97" x14ac:dyDescent="0.35">
      <c r="A4">
        <v>1222603004</v>
      </c>
      <c r="B4" t="s">
        <v>135</v>
      </c>
      <c r="C4" t="s">
        <v>533</v>
      </c>
      <c r="D4" t="s">
        <v>93</v>
      </c>
      <c r="E4">
        <v>4000</v>
      </c>
      <c r="F4" t="s">
        <v>94</v>
      </c>
      <c r="G4" t="s">
        <v>95</v>
      </c>
      <c r="H4" t="s">
        <v>96</v>
      </c>
      <c r="I4" t="s">
        <v>175</v>
      </c>
      <c r="J4" t="s">
        <v>176</v>
      </c>
      <c r="K4" s="6">
        <f t="shared" si="0"/>
        <v>4890.7308703999997</v>
      </c>
      <c r="L4" t="s">
        <v>99</v>
      </c>
      <c r="M4" t="s">
        <v>100</v>
      </c>
      <c r="N4" t="s">
        <v>177</v>
      </c>
      <c r="O4" t="s">
        <v>96</v>
      </c>
      <c r="P4" t="s">
        <v>96</v>
      </c>
      <c r="Q4" t="s">
        <v>534</v>
      </c>
      <c r="R4" t="s">
        <v>179</v>
      </c>
      <c r="S4" t="s">
        <v>104</v>
      </c>
      <c r="T4">
        <v>0</v>
      </c>
      <c r="U4">
        <v>30</v>
      </c>
      <c r="V4">
        <v>30</v>
      </c>
      <c r="W4" t="s">
        <v>105</v>
      </c>
      <c r="X4" t="s">
        <v>106</v>
      </c>
      <c r="Y4" t="s">
        <v>107</v>
      </c>
      <c r="Z4" t="s">
        <v>108</v>
      </c>
      <c r="AA4">
        <v>618</v>
      </c>
      <c r="AB4">
        <v>633</v>
      </c>
      <c r="AC4" t="s">
        <v>109</v>
      </c>
      <c r="AD4" t="s">
        <v>425</v>
      </c>
      <c r="AE4" s="3">
        <v>401110000000</v>
      </c>
      <c r="AF4" t="s">
        <v>167</v>
      </c>
      <c r="AG4" t="s">
        <v>179</v>
      </c>
      <c r="AH4" t="s">
        <v>112</v>
      </c>
      <c r="AI4">
        <v>9</v>
      </c>
      <c r="AJ4">
        <v>206</v>
      </c>
      <c r="AK4">
        <v>211</v>
      </c>
      <c r="AL4" t="s">
        <v>113</v>
      </c>
      <c r="AM4" s="6">
        <v>1088.3499999999999</v>
      </c>
      <c r="AN4" s="6">
        <v>3409.27</v>
      </c>
      <c r="AO4" s="6">
        <f t="shared" si="1"/>
        <v>108.83499999999999</v>
      </c>
      <c r="AP4" s="6">
        <f t="shared" si="2"/>
        <v>32.650499999999994</v>
      </c>
      <c r="AQ4" s="6">
        <f t="shared" si="3"/>
        <v>1229.8354999999999</v>
      </c>
      <c r="AR4">
        <v>501</v>
      </c>
      <c r="AS4" s="6">
        <v>0</v>
      </c>
      <c r="AT4" s="6">
        <v>0</v>
      </c>
      <c r="AU4" s="6">
        <f>AQ4*1.2</f>
        <v>1475.8025999999998</v>
      </c>
      <c r="AV4" s="6">
        <v>280.10000000000002</v>
      </c>
      <c r="AW4" s="6">
        <v>1680.62</v>
      </c>
      <c r="AX4" t="s">
        <v>114</v>
      </c>
      <c r="AY4" t="s">
        <v>535</v>
      </c>
      <c r="AZ4" s="3">
        <v>843141000000</v>
      </c>
      <c r="BA4" t="s">
        <v>169</v>
      </c>
      <c r="BB4" t="s">
        <v>179</v>
      </c>
      <c r="BC4" t="s">
        <v>112</v>
      </c>
      <c r="BD4">
        <v>11</v>
      </c>
      <c r="BE4">
        <v>206</v>
      </c>
      <c r="BF4">
        <v>211</v>
      </c>
      <c r="BG4" t="s">
        <v>113</v>
      </c>
      <c r="BH4" s="6">
        <v>874.08</v>
      </c>
      <c r="BI4" s="6">
        <v>3409.27</v>
      </c>
      <c r="BJ4" s="6">
        <f t="shared" si="4"/>
        <v>87.408000000000015</v>
      </c>
      <c r="BK4" s="6">
        <f t="shared" si="5"/>
        <v>26.2224</v>
      </c>
      <c r="BL4" s="6">
        <f t="shared" si="6"/>
        <v>987.71040000000005</v>
      </c>
      <c r="BM4" s="6">
        <v>501</v>
      </c>
      <c r="BN4" s="6">
        <f>BL4*1.02</f>
        <v>1007.4646080000001</v>
      </c>
      <c r="BO4" s="6">
        <v>0</v>
      </c>
      <c r="BP4" s="6">
        <f>BN4*1.2</f>
        <v>1208.9575296</v>
      </c>
      <c r="BQ4" s="6">
        <f t="shared" si="7"/>
        <v>221.24712959999999</v>
      </c>
      <c r="BR4" s="6">
        <f t="shared" si="8"/>
        <v>1208.9575296</v>
      </c>
      <c r="BS4" t="s">
        <v>114</v>
      </c>
      <c r="BT4" t="s">
        <v>536</v>
      </c>
      <c r="BU4" s="3">
        <v>850421000000</v>
      </c>
      <c r="BV4" t="s">
        <v>171</v>
      </c>
      <c r="BW4" t="s">
        <v>179</v>
      </c>
      <c r="BX4" t="s">
        <v>112</v>
      </c>
      <c r="BY4">
        <v>13</v>
      </c>
      <c r="BZ4">
        <v>206</v>
      </c>
      <c r="CA4">
        <v>211</v>
      </c>
      <c r="CB4" t="s">
        <v>113</v>
      </c>
      <c r="CC4" s="6">
        <v>1446.84</v>
      </c>
      <c r="CD4" s="6">
        <v>3409.27</v>
      </c>
      <c r="CE4" s="6">
        <f t="shared" si="9"/>
        <v>144.684</v>
      </c>
      <c r="CF4" s="6">
        <f t="shared" si="10"/>
        <v>43.405199999999994</v>
      </c>
      <c r="CG4" s="6">
        <f t="shared" si="11"/>
        <v>1634.9291999999998</v>
      </c>
      <c r="CH4" s="6">
        <v>501</v>
      </c>
      <c r="CI4" s="6">
        <f>CG4*1.02</f>
        <v>1667.6277839999998</v>
      </c>
      <c r="CJ4" s="6">
        <v>0</v>
      </c>
      <c r="CK4" s="6">
        <f>CI4*1.2</f>
        <v>2001.1533407999996</v>
      </c>
      <c r="CL4" s="6">
        <f t="shared" si="12"/>
        <v>366.22414079999976</v>
      </c>
      <c r="CM4" s="6">
        <f t="shared" si="13"/>
        <v>2001.1533407999996</v>
      </c>
      <c r="CN4" t="s">
        <v>114</v>
      </c>
      <c r="CO4" t="s">
        <v>537</v>
      </c>
      <c r="CP4">
        <f t="shared" ca="1" si="14"/>
        <v>2.2282645245251587E-2</v>
      </c>
      <c r="CQ4">
        <v>1</v>
      </c>
      <c r="CR4" s="10" t="str">
        <f t="shared" si="15"/>
        <v>20.12.2025 22:00</v>
      </c>
    </row>
    <row r="5" spans="1:97" x14ac:dyDescent="0.35">
      <c r="A5">
        <v>1222603006</v>
      </c>
      <c r="B5" t="s">
        <v>148</v>
      </c>
      <c r="C5" t="s">
        <v>497</v>
      </c>
      <c r="D5" t="s">
        <v>93</v>
      </c>
      <c r="E5">
        <v>4000</v>
      </c>
      <c r="F5" t="s">
        <v>94</v>
      </c>
      <c r="G5" t="s">
        <v>95</v>
      </c>
      <c r="H5" t="s">
        <v>96</v>
      </c>
      <c r="I5" t="s">
        <v>350</v>
      </c>
      <c r="J5" t="s">
        <v>176</v>
      </c>
      <c r="K5" s="6">
        <f t="shared" si="0"/>
        <v>3934.3310796000005</v>
      </c>
      <c r="L5" t="s">
        <v>99</v>
      </c>
      <c r="M5" t="s">
        <v>100</v>
      </c>
      <c r="N5" t="s">
        <v>351</v>
      </c>
      <c r="O5" t="s">
        <v>96</v>
      </c>
      <c r="P5" t="s">
        <v>96</v>
      </c>
      <c r="Q5" t="s">
        <v>498</v>
      </c>
      <c r="R5" t="s">
        <v>279</v>
      </c>
      <c r="S5" t="s">
        <v>104</v>
      </c>
      <c r="T5">
        <v>0</v>
      </c>
      <c r="U5">
        <v>30</v>
      </c>
      <c r="V5">
        <v>30</v>
      </c>
      <c r="W5" t="s">
        <v>105</v>
      </c>
      <c r="X5" t="s">
        <v>106</v>
      </c>
      <c r="Y5" t="s">
        <v>107</v>
      </c>
      <c r="Z5" t="s">
        <v>108</v>
      </c>
      <c r="AA5">
        <v>582</v>
      </c>
      <c r="AB5">
        <v>597</v>
      </c>
      <c r="AC5" t="s">
        <v>109</v>
      </c>
      <c r="AD5" t="s">
        <v>193</v>
      </c>
      <c r="AE5" s="3">
        <v>940360100000</v>
      </c>
      <c r="AF5" t="s">
        <v>181</v>
      </c>
      <c r="AG5" t="s">
        <v>279</v>
      </c>
      <c r="AH5" t="s">
        <v>182</v>
      </c>
      <c r="AI5">
        <v>12</v>
      </c>
      <c r="AJ5">
        <v>194</v>
      </c>
      <c r="AK5">
        <v>199</v>
      </c>
      <c r="AL5" t="s">
        <v>113</v>
      </c>
      <c r="AM5" s="6">
        <v>1070.01</v>
      </c>
      <c r="AN5" s="6">
        <v>2752.48</v>
      </c>
      <c r="AO5" s="6">
        <f t="shared" si="1"/>
        <v>107.001</v>
      </c>
      <c r="AP5" s="6">
        <f t="shared" si="2"/>
        <v>32.100299999999997</v>
      </c>
      <c r="AQ5" s="6">
        <f t="shared" si="3"/>
        <v>1209.1113</v>
      </c>
      <c r="AR5">
        <v>501</v>
      </c>
      <c r="AS5" s="6">
        <f>AQ5*1.05</f>
        <v>1269.566865</v>
      </c>
      <c r="AT5" s="6">
        <v>0</v>
      </c>
      <c r="AU5" s="6">
        <f>AS5*1.2</f>
        <v>1523.4802379999999</v>
      </c>
      <c r="AV5" s="6">
        <f>AU5-AQ5</f>
        <v>314.36893799999984</v>
      </c>
      <c r="AW5" s="6">
        <f>AU5</f>
        <v>1523.4802379999999</v>
      </c>
      <c r="AX5" t="s">
        <v>118</v>
      </c>
      <c r="AY5" t="s">
        <v>499</v>
      </c>
      <c r="AZ5" s="3">
        <v>440711100000</v>
      </c>
      <c r="BA5" t="s">
        <v>184</v>
      </c>
      <c r="BB5" t="s">
        <v>279</v>
      </c>
      <c r="BC5" t="s">
        <v>103</v>
      </c>
      <c r="BD5">
        <v>20</v>
      </c>
      <c r="BE5">
        <v>194</v>
      </c>
      <c r="BF5">
        <v>199</v>
      </c>
      <c r="BG5" t="s">
        <v>113</v>
      </c>
      <c r="BH5" s="6">
        <v>978.85</v>
      </c>
      <c r="BI5" s="6">
        <v>2752.48</v>
      </c>
      <c r="BJ5" s="6">
        <f t="shared" si="4"/>
        <v>97.885000000000005</v>
      </c>
      <c r="BK5" s="6">
        <f t="shared" si="5"/>
        <v>29.365500000000001</v>
      </c>
      <c r="BL5" s="6">
        <f t="shared" si="6"/>
        <v>1106.1005000000002</v>
      </c>
      <c r="BM5" s="6">
        <v>501</v>
      </c>
      <c r="BN5" s="6">
        <f>BL5*1.04</f>
        <v>1150.3445200000003</v>
      </c>
      <c r="BO5" s="6">
        <v>0</v>
      </c>
      <c r="BP5" s="6">
        <f>BN5*1.2</f>
        <v>1380.4134240000003</v>
      </c>
      <c r="BQ5" s="6">
        <f t="shared" si="7"/>
        <v>274.31292400000007</v>
      </c>
      <c r="BR5" s="6">
        <f t="shared" si="8"/>
        <v>1380.4134240000003</v>
      </c>
      <c r="BS5" t="s">
        <v>118</v>
      </c>
      <c r="BT5" t="s">
        <v>500</v>
      </c>
      <c r="BU5" s="3">
        <v>690721000000</v>
      </c>
      <c r="BV5" t="s">
        <v>186</v>
      </c>
      <c r="BW5" t="s">
        <v>279</v>
      </c>
      <c r="BX5" t="s">
        <v>112</v>
      </c>
      <c r="BY5">
        <v>10</v>
      </c>
      <c r="BZ5">
        <v>194</v>
      </c>
      <c r="CA5">
        <v>199</v>
      </c>
      <c r="CB5" t="s">
        <v>113</v>
      </c>
      <c r="CC5" s="6">
        <v>703.62</v>
      </c>
      <c r="CD5" s="6">
        <v>2752.48</v>
      </c>
      <c r="CE5" s="6">
        <f t="shared" si="9"/>
        <v>70.362000000000009</v>
      </c>
      <c r="CF5" s="6">
        <f t="shared" si="10"/>
        <v>21.108599999999999</v>
      </c>
      <c r="CG5" s="6">
        <f t="shared" si="11"/>
        <v>795.09059999999999</v>
      </c>
      <c r="CH5" s="6">
        <v>501</v>
      </c>
      <c r="CI5" s="6">
        <f>CG5*1.08</f>
        <v>858.69784800000002</v>
      </c>
      <c r="CJ5" s="6">
        <v>0</v>
      </c>
      <c r="CK5" s="6">
        <f>CI5*1.2</f>
        <v>1030.4374175999999</v>
      </c>
      <c r="CL5" s="6">
        <f t="shared" si="12"/>
        <v>235.34681759999989</v>
      </c>
      <c r="CM5" s="6">
        <f t="shared" si="13"/>
        <v>1030.4374175999999</v>
      </c>
      <c r="CN5" t="s">
        <v>118</v>
      </c>
      <c r="CO5" t="s">
        <v>501</v>
      </c>
      <c r="CP5">
        <f t="shared" ca="1" si="14"/>
        <v>0.94162203197954841</v>
      </c>
      <c r="CQ5">
        <v>1</v>
      </c>
      <c r="CR5" s="10" t="str">
        <f t="shared" si="15"/>
        <v>20.12.2025 22:00</v>
      </c>
    </row>
    <row r="6" spans="1:97" x14ac:dyDescent="0.35">
      <c r="A6">
        <v>1222603007</v>
      </c>
      <c r="B6" t="s">
        <v>160</v>
      </c>
      <c r="C6" t="s">
        <v>393</v>
      </c>
      <c r="D6" t="s">
        <v>93</v>
      </c>
      <c r="E6">
        <v>4000</v>
      </c>
      <c r="F6" t="s">
        <v>94</v>
      </c>
      <c r="G6" t="s">
        <v>95</v>
      </c>
      <c r="H6" t="s">
        <v>96</v>
      </c>
      <c r="I6" t="s">
        <v>190</v>
      </c>
      <c r="J6" t="s">
        <v>98</v>
      </c>
      <c r="K6" s="6">
        <f t="shared" si="0"/>
        <v>2175.6748800000005</v>
      </c>
      <c r="L6" t="s">
        <v>99</v>
      </c>
      <c r="M6" t="s">
        <v>100</v>
      </c>
      <c r="N6" t="s">
        <v>191</v>
      </c>
      <c r="O6" t="s">
        <v>96</v>
      </c>
      <c r="P6" t="s">
        <v>96</v>
      </c>
      <c r="Q6" t="s">
        <v>394</v>
      </c>
      <c r="R6" t="s">
        <v>127</v>
      </c>
      <c r="S6" t="s">
        <v>104</v>
      </c>
      <c r="T6">
        <v>0</v>
      </c>
      <c r="U6">
        <v>30</v>
      </c>
      <c r="V6">
        <v>30</v>
      </c>
      <c r="W6" t="s">
        <v>105</v>
      </c>
      <c r="X6" t="s">
        <v>106</v>
      </c>
      <c r="Y6" t="s">
        <v>107</v>
      </c>
      <c r="Z6" t="s">
        <v>108</v>
      </c>
      <c r="AA6">
        <v>480</v>
      </c>
      <c r="AB6">
        <v>495</v>
      </c>
      <c r="AC6" t="s">
        <v>109</v>
      </c>
      <c r="AD6" t="s">
        <v>344</v>
      </c>
      <c r="AE6" s="3">
        <v>610910000000</v>
      </c>
      <c r="AF6" t="s">
        <v>141</v>
      </c>
      <c r="AG6" t="s">
        <v>127</v>
      </c>
      <c r="AH6" t="s">
        <v>142</v>
      </c>
      <c r="AI6">
        <v>17</v>
      </c>
      <c r="AJ6">
        <v>160</v>
      </c>
      <c r="AK6">
        <v>165</v>
      </c>
      <c r="AL6" t="s">
        <v>113</v>
      </c>
      <c r="AM6" s="6">
        <v>494.06</v>
      </c>
      <c r="AN6" s="6">
        <f>AM6*1.08</f>
        <v>533.58480000000009</v>
      </c>
      <c r="AO6" s="6">
        <f t="shared" si="1"/>
        <v>49.406000000000006</v>
      </c>
      <c r="AP6" s="6">
        <f t="shared" si="2"/>
        <v>14.8218</v>
      </c>
      <c r="AQ6" s="6">
        <f t="shared" si="3"/>
        <v>558.28780000000006</v>
      </c>
      <c r="AR6">
        <v>501</v>
      </c>
      <c r="AS6" s="6">
        <v>0</v>
      </c>
      <c r="AT6" s="6">
        <v>0</v>
      </c>
      <c r="AU6" s="6">
        <f>AQ6*1.2</f>
        <v>669.94536000000005</v>
      </c>
      <c r="AV6" s="6">
        <f>AU6-AQ6</f>
        <v>111.65755999999999</v>
      </c>
      <c r="AW6" s="6">
        <f>AU6</f>
        <v>669.94536000000005</v>
      </c>
      <c r="AX6" t="s">
        <v>114</v>
      </c>
      <c r="AY6" t="s">
        <v>395</v>
      </c>
      <c r="AZ6" s="3">
        <v>620342000000</v>
      </c>
      <c r="BA6" t="s">
        <v>144</v>
      </c>
      <c r="BB6" t="s">
        <v>127</v>
      </c>
      <c r="BC6" t="s">
        <v>142</v>
      </c>
      <c r="BD6">
        <v>13</v>
      </c>
      <c r="BE6">
        <v>160</v>
      </c>
      <c r="BF6">
        <v>165</v>
      </c>
      <c r="BG6" t="s">
        <v>113</v>
      </c>
      <c r="BH6" s="6">
        <v>551.34</v>
      </c>
      <c r="BI6" s="6">
        <f>BH6*1.08</f>
        <v>595.44720000000007</v>
      </c>
      <c r="BJ6" s="6">
        <f t="shared" si="4"/>
        <v>55.134000000000007</v>
      </c>
      <c r="BK6" s="6">
        <f t="shared" si="5"/>
        <v>16.540199999999999</v>
      </c>
      <c r="BL6" s="6">
        <f t="shared" si="6"/>
        <v>623.01420000000007</v>
      </c>
      <c r="BM6" s="6">
        <v>501</v>
      </c>
      <c r="BN6" s="6">
        <v>0</v>
      </c>
      <c r="BO6" s="6">
        <v>0</v>
      </c>
      <c r="BP6" s="6">
        <f>BL6*1.2</f>
        <v>747.61704000000009</v>
      </c>
      <c r="BQ6" s="6">
        <f t="shared" si="7"/>
        <v>124.60284000000001</v>
      </c>
      <c r="BR6" s="6">
        <f t="shared" si="8"/>
        <v>747.61704000000009</v>
      </c>
      <c r="BS6" t="s">
        <v>114</v>
      </c>
      <c r="BT6" t="s">
        <v>396</v>
      </c>
      <c r="BU6" s="3">
        <v>520512000000</v>
      </c>
      <c r="BV6" t="s">
        <v>146</v>
      </c>
      <c r="BW6" t="s">
        <v>127</v>
      </c>
      <c r="BX6" t="s">
        <v>142</v>
      </c>
      <c r="BY6">
        <v>9</v>
      </c>
      <c r="BZ6">
        <v>160</v>
      </c>
      <c r="CA6">
        <v>165</v>
      </c>
      <c r="CB6" t="s">
        <v>113</v>
      </c>
      <c r="CC6" s="6">
        <v>559.08000000000004</v>
      </c>
      <c r="CD6" s="6">
        <f>CC6*1.08</f>
        <v>603.80640000000005</v>
      </c>
      <c r="CE6" s="6">
        <f t="shared" si="9"/>
        <v>55.908000000000008</v>
      </c>
      <c r="CF6" s="6">
        <f t="shared" si="10"/>
        <v>16.772400000000001</v>
      </c>
      <c r="CG6" s="6">
        <f t="shared" si="11"/>
        <v>631.7604</v>
      </c>
      <c r="CH6" s="6">
        <v>501</v>
      </c>
      <c r="CI6" s="6">
        <v>0</v>
      </c>
      <c r="CJ6" s="6">
        <v>0</v>
      </c>
      <c r="CK6" s="6">
        <f>CG6*1.2</f>
        <v>758.11248000000001</v>
      </c>
      <c r="CL6" s="6">
        <f t="shared" si="12"/>
        <v>126.35208</v>
      </c>
      <c r="CM6" s="6">
        <f t="shared" si="13"/>
        <v>758.11248000000001</v>
      </c>
      <c r="CN6" t="s">
        <v>114</v>
      </c>
      <c r="CO6" t="s">
        <v>397</v>
      </c>
      <c r="CP6">
        <f t="shared" ca="1" si="14"/>
        <v>0.75154897569586265</v>
      </c>
      <c r="CQ6">
        <v>1</v>
      </c>
      <c r="CR6" s="10" t="str">
        <f t="shared" si="15"/>
        <v>20.12.2025 22:00</v>
      </c>
    </row>
    <row r="7" spans="1:97" x14ac:dyDescent="0.35">
      <c r="A7">
        <v>1222603008</v>
      </c>
      <c r="B7" t="s">
        <v>173</v>
      </c>
      <c r="C7" t="s">
        <v>375</v>
      </c>
      <c r="D7" t="s">
        <v>93</v>
      </c>
      <c r="E7">
        <v>4000</v>
      </c>
      <c r="F7" t="s">
        <v>94</v>
      </c>
      <c r="G7" t="s">
        <v>95</v>
      </c>
      <c r="H7" t="s">
        <v>96</v>
      </c>
      <c r="I7" t="s">
        <v>150</v>
      </c>
      <c r="J7" t="s">
        <v>98</v>
      </c>
      <c r="K7" s="6">
        <f t="shared" si="0"/>
        <v>28159.482479999999</v>
      </c>
      <c r="L7" t="s">
        <v>99</v>
      </c>
      <c r="M7" t="s">
        <v>100</v>
      </c>
      <c r="N7" t="s">
        <v>151</v>
      </c>
      <c r="O7" t="s">
        <v>96</v>
      </c>
      <c r="P7" t="s">
        <v>96</v>
      </c>
      <c r="Q7" t="s">
        <v>376</v>
      </c>
      <c r="R7" t="s">
        <v>153</v>
      </c>
      <c r="S7" t="s">
        <v>104</v>
      </c>
      <c r="T7">
        <v>0</v>
      </c>
      <c r="U7">
        <v>30</v>
      </c>
      <c r="V7">
        <v>30</v>
      </c>
      <c r="W7" t="s">
        <v>105</v>
      </c>
      <c r="X7" t="s">
        <v>106</v>
      </c>
      <c r="Y7" t="s">
        <v>107</v>
      </c>
      <c r="Z7" t="s">
        <v>108</v>
      </c>
      <c r="AA7">
        <v>462</v>
      </c>
      <c r="AB7">
        <v>477</v>
      </c>
      <c r="AC7" t="s">
        <v>109</v>
      </c>
      <c r="AD7" t="s">
        <v>180</v>
      </c>
      <c r="AE7" s="3">
        <v>870323190000</v>
      </c>
      <c r="AF7" t="s">
        <v>194</v>
      </c>
      <c r="AG7" t="s">
        <v>153</v>
      </c>
      <c r="AH7" t="s">
        <v>195</v>
      </c>
      <c r="AI7">
        <v>14</v>
      </c>
      <c r="AJ7">
        <v>154</v>
      </c>
      <c r="AK7">
        <v>159</v>
      </c>
      <c r="AL7" t="s">
        <v>113</v>
      </c>
      <c r="AM7" s="6">
        <v>5256.7</v>
      </c>
      <c r="AN7" s="6">
        <f>AM7*1.08</f>
        <v>5677.2359999999999</v>
      </c>
      <c r="AO7" s="6">
        <f t="shared" si="1"/>
        <v>525.66999999999996</v>
      </c>
      <c r="AP7" s="6">
        <f t="shared" si="2"/>
        <v>157.70099999999999</v>
      </c>
      <c r="AQ7" s="6">
        <f t="shared" si="3"/>
        <v>5940.0709999999999</v>
      </c>
      <c r="AR7">
        <v>602</v>
      </c>
      <c r="AS7" s="6">
        <v>0</v>
      </c>
      <c r="AT7" s="6">
        <f>AQ7*1.8</f>
        <v>10692.1278</v>
      </c>
      <c r="AU7" s="6">
        <f>AT7*1.2</f>
        <v>12830.55336</v>
      </c>
      <c r="AV7" s="6">
        <f>AU7-AQ7</f>
        <v>6890.48236</v>
      </c>
      <c r="AW7" s="6">
        <f>AU7</f>
        <v>12830.55336</v>
      </c>
      <c r="AX7" t="s">
        <v>114</v>
      </c>
      <c r="AY7" t="s">
        <v>377</v>
      </c>
      <c r="AZ7" s="3">
        <v>842720000000</v>
      </c>
      <c r="BA7" t="s">
        <v>197</v>
      </c>
      <c r="BB7" t="s">
        <v>153</v>
      </c>
      <c r="BC7" t="s">
        <v>195</v>
      </c>
      <c r="BD7">
        <v>19</v>
      </c>
      <c r="BE7">
        <v>154</v>
      </c>
      <c r="BF7">
        <v>159</v>
      </c>
      <c r="BG7" t="s">
        <v>113</v>
      </c>
      <c r="BH7" s="6">
        <v>6195.08</v>
      </c>
      <c r="BI7" s="6">
        <f>BH7*1.08</f>
        <v>6690.6864000000005</v>
      </c>
      <c r="BJ7" s="6">
        <f t="shared" si="4"/>
        <v>619.50800000000004</v>
      </c>
      <c r="BK7" s="6">
        <f t="shared" si="5"/>
        <v>185.85239999999999</v>
      </c>
      <c r="BL7" s="6">
        <f t="shared" si="6"/>
        <v>7000.4403999999995</v>
      </c>
      <c r="BM7" s="6">
        <v>501</v>
      </c>
      <c r="BN7" s="6">
        <v>0</v>
      </c>
      <c r="BO7" s="6">
        <v>0</v>
      </c>
      <c r="BP7" s="6">
        <f>BL7*1.2</f>
        <v>8400.528479999999</v>
      </c>
      <c r="BQ7" s="6">
        <f t="shared" si="7"/>
        <v>1400.0880799999995</v>
      </c>
      <c r="BR7" s="6">
        <f t="shared" si="8"/>
        <v>8400.528479999999</v>
      </c>
      <c r="BS7" t="s">
        <v>114</v>
      </c>
      <c r="BT7" t="s">
        <v>378</v>
      </c>
      <c r="BU7" s="3">
        <v>640399930000</v>
      </c>
      <c r="BV7" t="s">
        <v>199</v>
      </c>
      <c r="BW7" t="s">
        <v>153</v>
      </c>
      <c r="BX7" t="s">
        <v>112</v>
      </c>
      <c r="BY7">
        <v>9</v>
      </c>
      <c r="BZ7">
        <v>154</v>
      </c>
      <c r="CA7">
        <v>159</v>
      </c>
      <c r="CB7" t="s">
        <v>113</v>
      </c>
      <c r="CC7" s="6">
        <v>5109.4399999999996</v>
      </c>
      <c r="CD7" s="6">
        <f>CC7*1.08</f>
        <v>5518.1952000000001</v>
      </c>
      <c r="CE7" s="6">
        <f t="shared" si="9"/>
        <v>510.94399999999996</v>
      </c>
      <c r="CF7" s="6">
        <f t="shared" si="10"/>
        <v>153.28319999999999</v>
      </c>
      <c r="CG7" s="6">
        <f t="shared" si="11"/>
        <v>5773.6671999999999</v>
      </c>
      <c r="CH7" s="6">
        <v>501</v>
      </c>
      <c r="CI7" s="6">
        <v>0</v>
      </c>
      <c r="CJ7" s="6">
        <v>0</v>
      </c>
      <c r="CK7" s="6">
        <f>CG7*1.2</f>
        <v>6928.4006399999998</v>
      </c>
      <c r="CL7" s="6">
        <f t="shared" si="12"/>
        <v>1154.73344</v>
      </c>
      <c r="CM7" s="6">
        <f t="shared" si="13"/>
        <v>6928.4006399999998</v>
      </c>
      <c r="CN7" t="s">
        <v>114</v>
      </c>
      <c r="CO7" t="s">
        <v>379</v>
      </c>
      <c r="CP7">
        <f t="shared" ca="1" si="14"/>
        <v>0.99805332284840087</v>
      </c>
      <c r="CQ7">
        <v>1</v>
      </c>
      <c r="CR7" s="10" t="str">
        <f t="shared" si="15"/>
        <v>20.12.2025 22:00</v>
      </c>
    </row>
    <row r="8" spans="1:97" x14ac:dyDescent="0.35">
      <c r="A8">
        <v>1222603009</v>
      </c>
      <c r="B8" t="s">
        <v>188</v>
      </c>
      <c r="C8" t="s">
        <v>405</v>
      </c>
      <c r="D8" t="s">
        <v>93</v>
      </c>
      <c r="E8">
        <v>4000</v>
      </c>
      <c r="F8" t="s">
        <v>94</v>
      </c>
      <c r="G8" t="s">
        <v>95</v>
      </c>
      <c r="H8" t="s">
        <v>96</v>
      </c>
      <c r="I8" t="s">
        <v>213</v>
      </c>
      <c r="J8" t="s">
        <v>98</v>
      </c>
      <c r="K8" s="6">
        <f t="shared" si="0"/>
        <v>8016.5984055999998</v>
      </c>
      <c r="L8" t="s">
        <v>99</v>
      </c>
      <c r="M8" t="s">
        <v>100</v>
      </c>
      <c r="N8" t="s">
        <v>214</v>
      </c>
      <c r="O8" t="s">
        <v>96</v>
      </c>
      <c r="P8" t="s">
        <v>96</v>
      </c>
      <c r="Q8" t="s">
        <v>406</v>
      </c>
      <c r="R8" t="s">
        <v>216</v>
      </c>
      <c r="S8" t="s">
        <v>104</v>
      </c>
      <c r="T8">
        <v>0</v>
      </c>
      <c r="U8">
        <v>30</v>
      </c>
      <c r="V8">
        <v>30</v>
      </c>
      <c r="W8" t="s">
        <v>105</v>
      </c>
      <c r="X8" t="s">
        <v>106</v>
      </c>
      <c r="Y8" t="s">
        <v>107</v>
      </c>
      <c r="Z8" t="s">
        <v>108</v>
      </c>
      <c r="AA8">
        <v>492</v>
      </c>
      <c r="AB8">
        <v>507</v>
      </c>
      <c r="AC8" t="s">
        <v>109</v>
      </c>
      <c r="AD8" t="s">
        <v>110</v>
      </c>
      <c r="AE8" s="3">
        <v>401110000000</v>
      </c>
      <c r="AF8" t="s">
        <v>167</v>
      </c>
      <c r="AG8" t="s">
        <v>216</v>
      </c>
      <c r="AH8" t="s">
        <v>112</v>
      </c>
      <c r="AI8">
        <v>7</v>
      </c>
      <c r="AJ8">
        <v>164</v>
      </c>
      <c r="AK8">
        <v>169</v>
      </c>
      <c r="AL8" t="s">
        <v>113</v>
      </c>
      <c r="AM8" s="6">
        <v>935.74</v>
      </c>
      <c r="AN8" s="6">
        <f>AM8*1.08</f>
        <v>1010.5992000000001</v>
      </c>
      <c r="AO8" s="6">
        <f t="shared" si="1"/>
        <v>93.574000000000012</v>
      </c>
      <c r="AP8" s="6">
        <f t="shared" si="2"/>
        <v>28.072199999999999</v>
      </c>
      <c r="AQ8" s="6">
        <f t="shared" si="3"/>
        <v>1057.3862000000001</v>
      </c>
      <c r="AR8">
        <v>501</v>
      </c>
      <c r="AS8" s="6">
        <v>0</v>
      </c>
      <c r="AT8" s="6">
        <v>0</v>
      </c>
      <c r="AU8" s="6">
        <f>AQ8*1.2</f>
        <v>1268.8634400000001</v>
      </c>
      <c r="AV8" s="6">
        <v>796.08</v>
      </c>
      <c r="AW8" s="6">
        <v>4776.46</v>
      </c>
      <c r="AX8" t="s">
        <v>114</v>
      </c>
      <c r="AY8" t="s">
        <v>407</v>
      </c>
      <c r="AZ8" s="3">
        <v>843141000000</v>
      </c>
      <c r="BA8" t="s">
        <v>169</v>
      </c>
      <c r="BB8" t="s">
        <v>216</v>
      </c>
      <c r="BC8" t="s">
        <v>112</v>
      </c>
      <c r="BD8">
        <v>6</v>
      </c>
      <c r="BE8">
        <v>164</v>
      </c>
      <c r="BF8">
        <v>169</v>
      </c>
      <c r="BG8" t="s">
        <v>113</v>
      </c>
      <c r="BH8" s="6">
        <v>1133.3900000000001</v>
      </c>
      <c r="BI8" s="6">
        <f>BH8*1.08</f>
        <v>1224.0612000000001</v>
      </c>
      <c r="BJ8" s="6">
        <f t="shared" si="4"/>
        <v>113.33900000000001</v>
      </c>
      <c r="BK8" s="6">
        <f t="shared" si="5"/>
        <v>34.0017</v>
      </c>
      <c r="BL8" s="6">
        <f t="shared" si="6"/>
        <v>1280.7307000000001</v>
      </c>
      <c r="BM8" s="6">
        <v>501</v>
      </c>
      <c r="BN8" s="6">
        <f>BL8*1.02</f>
        <v>1306.3453140000001</v>
      </c>
      <c r="BO8" s="6">
        <v>0</v>
      </c>
      <c r="BP8" s="6">
        <f>BN8*1.2</f>
        <v>1567.6143768000002</v>
      </c>
      <c r="BQ8" s="6">
        <f t="shared" si="7"/>
        <v>286.8836768000001</v>
      </c>
      <c r="BR8" s="6">
        <f t="shared" si="8"/>
        <v>1567.6143768000002</v>
      </c>
      <c r="BS8" t="s">
        <v>114</v>
      </c>
      <c r="BT8" t="s">
        <v>408</v>
      </c>
      <c r="BU8" s="3">
        <v>850421000000</v>
      </c>
      <c r="BV8" t="s">
        <v>171</v>
      </c>
      <c r="BW8" t="s">
        <v>216</v>
      </c>
      <c r="BX8" t="s">
        <v>112</v>
      </c>
      <c r="BY8">
        <v>8</v>
      </c>
      <c r="BZ8">
        <v>164</v>
      </c>
      <c r="CA8">
        <v>169</v>
      </c>
      <c r="CB8" t="s">
        <v>113</v>
      </c>
      <c r="CC8" s="6">
        <v>1209.24</v>
      </c>
      <c r="CD8" s="6">
        <f>CC8*1.08</f>
        <v>1305.9792</v>
      </c>
      <c r="CE8" s="6">
        <f t="shared" si="9"/>
        <v>120.92400000000001</v>
      </c>
      <c r="CF8" s="6">
        <f t="shared" si="10"/>
        <v>36.277200000000001</v>
      </c>
      <c r="CG8" s="6">
        <f t="shared" si="11"/>
        <v>1366.4412</v>
      </c>
      <c r="CH8" s="6">
        <v>501</v>
      </c>
      <c r="CI8" s="6">
        <f>CG8*1.02</f>
        <v>1393.7700239999999</v>
      </c>
      <c r="CJ8" s="6">
        <v>0</v>
      </c>
      <c r="CK8" s="6">
        <f>CI8*1.2</f>
        <v>1672.5240287999998</v>
      </c>
      <c r="CL8" s="6">
        <f t="shared" si="12"/>
        <v>306.08282879999979</v>
      </c>
      <c r="CM8" s="6">
        <f t="shared" si="13"/>
        <v>1672.5240287999998</v>
      </c>
      <c r="CN8" t="s">
        <v>114</v>
      </c>
      <c r="CO8" t="s">
        <v>409</v>
      </c>
      <c r="CP8">
        <f t="shared" ca="1" si="14"/>
        <v>0.58553741273059534</v>
      </c>
      <c r="CQ8">
        <v>1</v>
      </c>
      <c r="CR8" s="10" t="str">
        <f t="shared" si="15"/>
        <v>20.12.2025 22:00</v>
      </c>
    </row>
    <row r="9" spans="1:97" x14ac:dyDescent="0.35">
      <c r="A9">
        <v>1222603010</v>
      </c>
      <c r="B9" t="s">
        <v>201</v>
      </c>
      <c r="C9" t="s">
        <v>136</v>
      </c>
      <c r="D9" t="s">
        <v>93</v>
      </c>
      <c r="E9">
        <v>4000</v>
      </c>
      <c r="F9" t="s">
        <v>94</v>
      </c>
      <c r="G9" t="s">
        <v>95</v>
      </c>
      <c r="H9" t="s">
        <v>96</v>
      </c>
      <c r="I9" t="s">
        <v>137</v>
      </c>
      <c r="J9" t="s">
        <v>98</v>
      </c>
      <c r="K9" s="6">
        <f t="shared" si="0"/>
        <v>1807.0734</v>
      </c>
      <c r="L9" t="s">
        <v>99</v>
      </c>
      <c r="M9" t="s">
        <v>100</v>
      </c>
      <c r="N9" t="s">
        <v>138</v>
      </c>
      <c r="O9" t="s">
        <v>96</v>
      </c>
      <c r="P9" t="s">
        <v>96</v>
      </c>
      <c r="Q9" t="s">
        <v>139</v>
      </c>
      <c r="R9" t="s">
        <v>140</v>
      </c>
      <c r="S9" t="s">
        <v>104</v>
      </c>
      <c r="T9">
        <v>0</v>
      </c>
      <c r="U9">
        <v>30</v>
      </c>
      <c r="V9">
        <v>30</v>
      </c>
      <c r="W9" t="s">
        <v>105</v>
      </c>
      <c r="X9" t="s">
        <v>106</v>
      </c>
      <c r="Y9" t="s">
        <v>107</v>
      </c>
      <c r="Z9" t="s">
        <v>108</v>
      </c>
      <c r="AA9">
        <v>312</v>
      </c>
      <c r="AB9">
        <v>327</v>
      </c>
      <c r="AC9" t="s">
        <v>109</v>
      </c>
      <c r="AD9" t="s">
        <v>128</v>
      </c>
      <c r="AE9" s="3">
        <v>610910000000</v>
      </c>
      <c r="AF9" t="s">
        <v>141</v>
      </c>
      <c r="AG9" t="s">
        <v>140</v>
      </c>
      <c r="AH9" t="s">
        <v>142</v>
      </c>
      <c r="AI9">
        <v>13</v>
      </c>
      <c r="AJ9">
        <v>104</v>
      </c>
      <c r="AK9">
        <v>109</v>
      </c>
      <c r="AL9" t="s">
        <v>113</v>
      </c>
      <c r="AM9" s="6">
        <v>385.04</v>
      </c>
      <c r="AN9" s="6">
        <f>AM9*1.08</f>
        <v>415.84320000000002</v>
      </c>
      <c r="AO9" s="6">
        <f t="shared" si="1"/>
        <v>38.504000000000005</v>
      </c>
      <c r="AP9" s="6">
        <f t="shared" si="2"/>
        <v>11.5512</v>
      </c>
      <c r="AQ9" s="6">
        <f t="shared" si="3"/>
        <v>435.09520000000003</v>
      </c>
      <c r="AR9">
        <v>501</v>
      </c>
      <c r="AS9" s="6">
        <v>0</v>
      </c>
      <c r="AT9" s="6">
        <v>0</v>
      </c>
      <c r="AU9" s="6">
        <f>AQ9*1.2</f>
        <v>522.11424</v>
      </c>
      <c r="AV9" s="6">
        <f t="shared" ref="AV9:AV32" si="16">AU9-AQ9</f>
        <v>87.019039999999961</v>
      </c>
      <c r="AW9" s="6">
        <f t="shared" ref="AW9:AW32" si="17">AU9</f>
        <v>522.11424</v>
      </c>
      <c r="AX9" t="s">
        <v>114</v>
      </c>
      <c r="AY9" t="s">
        <v>143</v>
      </c>
      <c r="AZ9" s="3">
        <v>620342000000</v>
      </c>
      <c r="BA9" t="s">
        <v>144</v>
      </c>
      <c r="BB9" t="s">
        <v>140</v>
      </c>
      <c r="BC9" t="s">
        <v>142</v>
      </c>
      <c r="BD9">
        <v>9</v>
      </c>
      <c r="BE9">
        <v>104</v>
      </c>
      <c r="BF9">
        <v>109</v>
      </c>
      <c r="BG9" t="s">
        <v>113</v>
      </c>
      <c r="BH9" s="6">
        <v>569.67999999999995</v>
      </c>
      <c r="BI9" s="6">
        <f>BH9*1.08</f>
        <v>615.25440000000003</v>
      </c>
      <c r="BJ9" s="6">
        <f t="shared" si="4"/>
        <v>56.967999999999996</v>
      </c>
      <c r="BK9" s="6">
        <f t="shared" si="5"/>
        <v>17.090399999999999</v>
      </c>
      <c r="BL9" s="6">
        <f t="shared" si="6"/>
        <v>643.73839999999996</v>
      </c>
      <c r="BM9" s="6">
        <v>501</v>
      </c>
      <c r="BN9" s="6">
        <v>0</v>
      </c>
      <c r="BO9" s="6">
        <v>0</v>
      </c>
      <c r="BP9" s="6">
        <f>BL9*1.2</f>
        <v>772.4860799999999</v>
      </c>
      <c r="BQ9" s="6">
        <f t="shared" si="7"/>
        <v>128.74767999999995</v>
      </c>
      <c r="BR9" s="6">
        <f t="shared" si="8"/>
        <v>772.4860799999999</v>
      </c>
      <c r="BS9" t="s">
        <v>114</v>
      </c>
      <c r="BT9" t="s">
        <v>145</v>
      </c>
      <c r="BU9" s="3">
        <v>520512000000</v>
      </c>
      <c r="BV9" t="s">
        <v>146</v>
      </c>
      <c r="BW9" t="s">
        <v>140</v>
      </c>
      <c r="BX9" t="s">
        <v>142</v>
      </c>
      <c r="BY9">
        <v>5</v>
      </c>
      <c r="BZ9">
        <v>104</v>
      </c>
      <c r="CA9">
        <v>109</v>
      </c>
      <c r="CB9" t="s">
        <v>113</v>
      </c>
      <c r="CC9" s="6">
        <v>377.93</v>
      </c>
      <c r="CD9" s="6">
        <f>CC9*1.08</f>
        <v>408.16440000000006</v>
      </c>
      <c r="CE9" s="6">
        <f t="shared" si="9"/>
        <v>37.792999999999999</v>
      </c>
      <c r="CF9" s="6">
        <f t="shared" si="10"/>
        <v>11.337899999999999</v>
      </c>
      <c r="CG9" s="6">
        <f t="shared" si="11"/>
        <v>427.0609</v>
      </c>
      <c r="CH9" s="6">
        <v>501</v>
      </c>
      <c r="CI9" s="6">
        <v>0</v>
      </c>
      <c r="CJ9" s="6">
        <v>0</v>
      </c>
      <c r="CK9" s="6">
        <f>CG9*1.2</f>
        <v>512.47307999999998</v>
      </c>
      <c r="CL9" s="6">
        <f t="shared" si="12"/>
        <v>85.412179999999978</v>
      </c>
      <c r="CM9" s="6">
        <f t="shared" si="13"/>
        <v>512.47307999999998</v>
      </c>
      <c r="CN9" t="s">
        <v>114</v>
      </c>
      <c r="CO9" t="s">
        <v>147</v>
      </c>
      <c r="CP9">
        <f t="shared" ca="1" si="14"/>
        <v>0.42632560240779172</v>
      </c>
      <c r="CQ9">
        <v>1</v>
      </c>
      <c r="CR9" s="10" t="str">
        <f t="shared" si="15"/>
        <v>20.12.2025 22:00</v>
      </c>
    </row>
    <row r="10" spans="1:97" x14ac:dyDescent="0.35">
      <c r="A10">
        <v>1222603011</v>
      </c>
      <c r="B10" t="s">
        <v>211</v>
      </c>
      <c r="C10" t="s">
        <v>339</v>
      </c>
      <c r="D10" t="s">
        <v>93</v>
      </c>
      <c r="E10">
        <v>4000</v>
      </c>
      <c r="F10" t="s">
        <v>94</v>
      </c>
      <c r="G10" t="s">
        <v>95</v>
      </c>
      <c r="H10" t="s">
        <v>96</v>
      </c>
      <c r="I10" t="s">
        <v>340</v>
      </c>
      <c r="J10" t="s">
        <v>176</v>
      </c>
      <c r="K10" s="6">
        <f t="shared" si="0"/>
        <v>3858.9932789999998</v>
      </c>
      <c r="L10" t="s">
        <v>99</v>
      </c>
      <c r="M10" t="s">
        <v>100</v>
      </c>
      <c r="N10" t="s">
        <v>341</v>
      </c>
      <c r="O10" t="s">
        <v>96</v>
      </c>
      <c r="P10" t="s">
        <v>96</v>
      </c>
      <c r="Q10" t="s">
        <v>342</v>
      </c>
      <c r="R10" t="s">
        <v>343</v>
      </c>
      <c r="S10" t="s">
        <v>104</v>
      </c>
      <c r="T10">
        <v>0</v>
      </c>
      <c r="U10">
        <v>30</v>
      </c>
      <c r="V10">
        <v>30</v>
      </c>
      <c r="W10" t="s">
        <v>105</v>
      </c>
      <c r="X10" t="s">
        <v>106</v>
      </c>
      <c r="Y10" t="s">
        <v>107</v>
      </c>
      <c r="Z10" t="s">
        <v>108</v>
      </c>
      <c r="AA10">
        <v>432</v>
      </c>
      <c r="AB10">
        <v>447</v>
      </c>
      <c r="AC10" t="s">
        <v>109</v>
      </c>
      <c r="AD10" t="s">
        <v>344</v>
      </c>
      <c r="AE10" s="3">
        <v>292241000000</v>
      </c>
      <c r="AF10" t="s">
        <v>129</v>
      </c>
      <c r="AG10" t="s">
        <v>343</v>
      </c>
      <c r="AH10" t="s">
        <v>112</v>
      </c>
      <c r="AI10">
        <v>5</v>
      </c>
      <c r="AJ10">
        <v>144</v>
      </c>
      <c r="AK10">
        <v>149</v>
      </c>
      <c r="AL10" t="s">
        <v>113</v>
      </c>
      <c r="AM10" s="6">
        <v>889.01</v>
      </c>
      <c r="AN10" s="6">
        <v>2732.05</v>
      </c>
      <c r="AO10" s="6">
        <f t="shared" si="1"/>
        <v>88.90100000000001</v>
      </c>
      <c r="AP10" s="6">
        <f t="shared" si="2"/>
        <v>26.670299999999997</v>
      </c>
      <c r="AQ10" s="6">
        <f t="shared" si="3"/>
        <v>1004.5813000000001</v>
      </c>
      <c r="AR10">
        <v>501</v>
      </c>
      <c r="AS10" s="6">
        <f>AQ10*1.05</f>
        <v>1054.810365</v>
      </c>
      <c r="AT10" s="6">
        <v>0</v>
      </c>
      <c r="AU10" s="6">
        <f>AS10*1.2</f>
        <v>1265.772438</v>
      </c>
      <c r="AV10" s="6">
        <f t="shared" si="16"/>
        <v>261.19113799999991</v>
      </c>
      <c r="AW10" s="6">
        <f t="shared" si="17"/>
        <v>1265.772438</v>
      </c>
      <c r="AX10" t="s">
        <v>118</v>
      </c>
      <c r="AY10" t="s">
        <v>345</v>
      </c>
      <c r="AZ10" s="3">
        <v>390110900000</v>
      </c>
      <c r="BA10" t="s">
        <v>131</v>
      </c>
      <c r="BB10" t="s">
        <v>343</v>
      </c>
      <c r="BC10" t="s">
        <v>117</v>
      </c>
      <c r="BD10">
        <v>17</v>
      </c>
      <c r="BE10">
        <v>144</v>
      </c>
      <c r="BF10">
        <v>149</v>
      </c>
      <c r="BG10" t="s">
        <v>113</v>
      </c>
      <c r="BH10" s="6">
        <v>1067.1500000000001</v>
      </c>
      <c r="BI10" s="6">
        <v>2732.05</v>
      </c>
      <c r="BJ10" s="6">
        <f t="shared" si="4"/>
        <v>106.71500000000002</v>
      </c>
      <c r="BK10" s="6">
        <f t="shared" si="5"/>
        <v>32.014499999999998</v>
      </c>
      <c r="BL10" s="6">
        <f t="shared" si="6"/>
        <v>1205.8795</v>
      </c>
      <c r="BM10" s="6">
        <v>501</v>
      </c>
      <c r="BN10" s="6">
        <f>BL10*1.065</f>
        <v>1284.2616674999999</v>
      </c>
      <c r="BO10" s="6">
        <v>0</v>
      </c>
      <c r="BP10" s="6">
        <f>BN10*1.2</f>
        <v>1541.1140009999999</v>
      </c>
      <c r="BQ10" s="6">
        <f t="shared" si="7"/>
        <v>335.23450099999991</v>
      </c>
      <c r="BR10" s="6">
        <f t="shared" si="8"/>
        <v>1541.1140009999999</v>
      </c>
      <c r="BS10" t="s">
        <v>118</v>
      </c>
      <c r="BT10" t="s">
        <v>346</v>
      </c>
      <c r="BU10" s="3">
        <v>310210100000</v>
      </c>
      <c r="BV10" t="s">
        <v>133</v>
      </c>
      <c r="BW10" t="s">
        <v>343</v>
      </c>
      <c r="BX10" t="s">
        <v>117</v>
      </c>
      <c r="BY10">
        <v>11</v>
      </c>
      <c r="BZ10">
        <v>144</v>
      </c>
      <c r="CA10">
        <v>149</v>
      </c>
      <c r="CB10" t="s">
        <v>113</v>
      </c>
      <c r="CC10" s="6">
        <v>775.89</v>
      </c>
      <c r="CD10" s="6">
        <v>2732.05</v>
      </c>
      <c r="CE10" s="6">
        <f t="shared" si="9"/>
        <v>77.588999999999999</v>
      </c>
      <c r="CF10" s="6">
        <f t="shared" si="10"/>
        <v>23.276699999999998</v>
      </c>
      <c r="CG10" s="6">
        <f t="shared" si="11"/>
        <v>876.75570000000005</v>
      </c>
      <c r="CH10" s="6">
        <v>501</v>
      </c>
      <c r="CI10" s="6">
        <v>0</v>
      </c>
      <c r="CJ10" s="6">
        <v>0</v>
      </c>
      <c r="CK10" s="6">
        <f>CG10*1.2</f>
        <v>1052.1068399999999</v>
      </c>
      <c r="CL10" s="6">
        <f t="shared" si="12"/>
        <v>175.35113999999987</v>
      </c>
      <c r="CM10" s="6">
        <f t="shared" si="13"/>
        <v>1052.1068399999999</v>
      </c>
      <c r="CN10" t="s">
        <v>118</v>
      </c>
      <c r="CO10" t="s">
        <v>347</v>
      </c>
      <c r="CP10">
        <f t="shared" ca="1" si="14"/>
        <v>0.94184375493468575</v>
      </c>
      <c r="CQ10">
        <v>1</v>
      </c>
      <c r="CR10" s="10" t="str">
        <f t="shared" si="15"/>
        <v>20.12.2025 22:00</v>
      </c>
    </row>
    <row r="11" spans="1:97" x14ac:dyDescent="0.35">
      <c r="A11">
        <v>1222603013</v>
      </c>
      <c r="B11" t="s">
        <v>220</v>
      </c>
      <c r="C11" t="s">
        <v>411</v>
      </c>
      <c r="D11" t="s">
        <v>93</v>
      </c>
      <c r="E11">
        <v>4000</v>
      </c>
      <c r="F11" t="s">
        <v>94</v>
      </c>
      <c r="G11" t="s">
        <v>95</v>
      </c>
      <c r="H11" t="s">
        <v>96</v>
      </c>
      <c r="I11" t="s">
        <v>222</v>
      </c>
      <c r="J11" t="s">
        <v>98</v>
      </c>
      <c r="K11" s="6">
        <f t="shared" si="0"/>
        <v>4039.4019600000001</v>
      </c>
      <c r="L11" t="s">
        <v>99</v>
      </c>
      <c r="M11" t="s">
        <v>100</v>
      </c>
      <c r="N11" t="s">
        <v>223</v>
      </c>
      <c r="O11" t="s">
        <v>96</v>
      </c>
      <c r="P11" t="s">
        <v>96</v>
      </c>
      <c r="Q11" t="s">
        <v>412</v>
      </c>
      <c r="R11" t="s">
        <v>225</v>
      </c>
      <c r="S11" t="s">
        <v>104</v>
      </c>
      <c r="T11">
        <v>0</v>
      </c>
      <c r="U11">
        <v>30</v>
      </c>
      <c r="V11">
        <v>30</v>
      </c>
      <c r="W11" t="s">
        <v>105</v>
      </c>
      <c r="X11" t="s">
        <v>106</v>
      </c>
      <c r="Y11" t="s">
        <v>107</v>
      </c>
      <c r="Z11" t="s">
        <v>108</v>
      </c>
      <c r="AA11">
        <v>498</v>
      </c>
      <c r="AB11">
        <v>513</v>
      </c>
      <c r="AC11" t="s">
        <v>109</v>
      </c>
      <c r="AD11" t="s">
        <v>193</v>
      </c>
      <c r="AE11" s="3">
        <v>940360100000</v>
      </c>
      <c r="AF11" t="s">
        <v>181</v>
      </c>
      <c r="AG11" t="s">
        <v>225</v>
      </c>
      <c r="AH11" t="s">
        <v>182</v>
      </c>
      <c r="AI11">
        <v>8</v>
      </c>
      <c r="AJ11">
        <v>166</v>
      </c>
      <c r="AK11">
        <v>171</v>
      </c>
      <c r="AL11" t="s">
        <v>113</v>
      </c>
      <c r="AM11" s="6">
        <v>937.53</v>
      </c>
      <c r="AN11" s="6">
        <f>AM11*1.08</f>
        <v>1012.5324000000001</v>
      </c>
      <c r="AO11" s="6">
        <f t="shared" si="1"/>
        <v>93.753</v>
      </c>
      <c r="AP11" s="6">
        <f t="shared" si="2"/>
        <v>28.125899999999998</v>
      </c>
      <c r="AQ11" s="6">
        <f t="shared" si="3"/>
        <v>1059.4088999999999</v>
      </c>
      <c r="AR11">
        <v>501</v>
      </c>
      <c r="AS11" s="6">
        <v>0</v>
      </c>
      <c r="AT11" s="6">
        <v>0</v>
      </c>
      <c r="AU11" s="6">
        <f>AQ11*1.2</f>
        <v>1271.2906799999998</v>
      </c>
      <c r="AV11" s="6">
        <f t="shared" si="16"/>
        <v>211.88177999999994</v>
      </c>
      <c r="AW11" s="6">
        <f t="shared" si="17"/>
        <v>1271.2906799999998</v>
      </c>
      <c r="AX11" t="s">
        <v>114</v>
      </c>
      <c r="AY11" t="s">
        <v>413</v>
      </c>
      <c r="AZ11" s="3">
        <v>440711100000</v>
      </c>
      <c r="BA11" t="s">
        <v>184</v>
      </c>
      <c r="BB11" t="s">
        <v>225</v>
      </c>
      <c r="BC11" t="s">
        <v>103</v>
      </c>
      <c r="BD11">
        <v>5</v>
      </c>
      <c r="BE11">
        <v>166</v>
      </c>
      <c r="BF11">
        <v>171</v>
      </c>
      <c r="BG11" t="s">
        <v>113</v>
      </c>
      <c r="BH11" s="6">
        <v>996.25</v>
      </c>
      <c r="BI11" s="6">
        <f>BH11*1.08</f>
        <v>1075.95</v>
      </c>
      <c r="BJ11" s="6">
        <f t="shared" si="4"/>
        <v>99.625</v>
      </c>
      <c r="BK11" s="6">
        <f t="shared" si="5"/>
        <v>29.887499999999999</v>
      </c>
      <c r="BL11" s="6">
        <f t="shared" si="6"/>
        <v>1125.7625</v>
      </c>
      <c r="BM11" s="6">
        <v>501</v>
      </c>
      <c r="BN11" s="6">
        <v>0</v>
      </c>
      <c r="BO11" s="6">
        <v>0</v>
      </c>
      <c r="BP11" s="6">
        <f>BL11*1.2</f>
        <v>1350.915</v>
      </c>
      <c r="BQ11" s="6">
        <f t="shared" si="7"/>
        <v>225.15249999999992</v>
      </c>
      <c r="BR11" s="6">
        <f t="shared" si="8"/>
        <v>1350.915</v>
      </c>
      <c r="BS11" t="s">
        <v>114</v>
      </c>
      <c r="BT11" t="s">
        <v>414</v>
      </c>
      <c r="BU11" s="3">
        <v>690721000000</v>
      </c>
      <c r="BV11" t="s">
        <v>186</v>
      </c>
      <c r="BW11" t="s">
        <v>225</v>
      </c>
      <c r="BX11" t="s">
        <v>112</v>
      </c>
      <c r="BY11">
        <v>11</v>
      </c>
      <c r="BZ11">
        <v>166</v>
      </c>
      <c r="CA11">
        <v>171</v>
      </c>
      <c r="CB11" t="s">
        <v>113</v>
      </c>
      <c r="CC11" s="6">
        <v>1045.1300000000001</v>
      </c>
      <c r="CD11" s="6">
        <f>CC11*1.08</f>
        <v>1128.7404000000001</v>
      </c>
      <c r="CE11" s="6">
        <f t="shared" si="9"/>
        <v>104.51300000000002</v>
      </c>
      <c r="CF11" s="6">
        <f t="shared" si="10"/>
        <v>31.353900000000003</v>
      </c>
      <c r="CG11" s="6">
        <f t="shared" si="11"/>
        <v>1180.9969000000001</v>
      </c>
      <c r="CH11" s="6">
        <v>501</v>
      </c>
      <c r="CI11" s="6">
        <v>0</v>
      </c>
      <c r="CJ11" s="6">
        <v>0</v>
      </c>
      <c r="CK11" s="6">
        <f>CG11*1.2</f>
        <v>1417.1962800000001</v>
      </c>
      <c r="CL11" s="6">
        <f t="shared" si="12"/>
        <v>236.19938000000002</v>
      </c>
      <c r="CM11" s="6">
        <f t="shared" si="13"/>
        <v>1417.1962800000001</v>
      </c>
      <c r="CN11" t="s">
        <v>114</v>
      </c>
      <c r="CO11" t="s">
        <v>415</v>
      </c>
      <c r="CP11">
        <f t="shared" ca="1" si="14"/>
        <v>0.68762786248459296</v>
      </c>
      <c r="CQ11">
        <v>1</v>
      </c>
      <c r="CR11" s="10" t="str">
        <f t="shared" si="15"/>
        <v>20.12.2025 22:00</v>
      </c>
    </row>
    <row r="12" spans="1:97" x14ac:dyDescent="0.35">
      <c r="A12">
        <v>1222603014</v>
      </c>
      <c r="B12" t="s">
        <v>229</v>
      </c>
      <c r="C12" t="s">
        <v>293</v>
      </c>
      <c r="D12" t="s">
        <v>93</v>
      </c>
      <c r="E12">
        <v>4000</v>
      </c>
      <c r="F12" t="s">
        <v>94</v>
      </c>
      <c r="G12" t="s">
        <v>95</v>
      </c>
      <c r="H12" t="s">
        <v>96</v>
      </c>
      <c r="I12" t="s">
        <v>294</v>
      </c>
      <c r="J12" t="s">
        <v>176</v>
      </c>
      <c r="K12" s="6">
        <f t="shared" si="0"/>
        <v>6191.1888659999995</v>
      </c>
      <c r="L12" t="s">
        <v>99</v>
      </c>
      <c r="M12" t="s">
        <v>100</v>
      </c>
      <c r="N12" t="s">
        <v>295</v>
      </c>
      <c r="O12" t="s">
        <v>96</v>
      </c>
      <c r="P12" t="s">
        <v>96</v>
      </c>
      <c r="Q12" t="s">
        <v>296</v>
      </c>
      <c r="R12" t="s">
        <v>297</v>
      </c>
      <c r="S12" t="s">
        <v>104</v>
      </c>
      <c r="T12">
        <v>0</v>
      </c>
      <c r="U12">
        <v>30</v>
      </c>
      <c r="V12">
        <v>30</v>
      </c>
      <c r="W12" t="s">
        <v>105</v>
      </c>
      <c r="X12" t="s">
        <v>106</v>
      </c>
      <c r="Y12" t="s">
        <v>107</v>
      </c>
      <c r="Z12" t="s">
        <v>108</v>
      </c>
      <c r="AA12">
        <v>402</v>
      </c>
      <c r="AB12">
        <v>417</v>
      </c>
      <c r="AC12" t="s">
        <v>109</v>
      </c>
      <c r="AD12" t="s">
        <v>298</v>
      </c>
      <c r="AE12" s="3">
        <v>847130000000</v>
      </c>
      <c r="AF12" t="s">
        <v>154</v>
      </c>
      <c r="AG12" t="s">
        <v>297</v>
      </c>
      <c r="AH12" t="s">
        <v>112</v>
      </c>
      <c r="AI12">
        <v>18</v>
      </c>
      <c r="AJ12">
        <v>134</v>
      </c>
      <c r="AK12">
        <v>139</v>
      </c>
      <c r="AL12" t="s">
        <v>113</v>
      </c>
      <c r="AM12" s="6">
        <v>1816.86</v>
      </c>
      <c r="AN12" s="6">
        <v>4003.37</v>
      </c>
      <c r="AO12" s="6">
        <f t="shared" si="1"/>
        <v>181.68600000000001</v>
      </c>
      <c r="AP12" s="6">
        <f t="shared" si="2"/>
        <v>54.505799999999994</v>
      </c>
      <c r="AQ12" s="6">
        <f t="shared" si="3"/>
        <v>2053.0517999999997</v>
      </c>
      <c r="AR12">
        <v>501</v>
      </c>
      <c r="AS12" s="6">
        <v>0</v>
      </c>
      <c r="AT12" s="6">
        <v>0</v>
      </c>
      <c r="AU12" s="6">
        <f>AQ12*1.2</f>
        <v>2463.6621599999994</v>
      </c>
      <c r="AV12" s="6">
        <f t="shared" si="16"/>
        <v>410.61035999999967</v>
      </c>
      <c r="AW12" s="6">
        <f t="shared" si="17"/>
        <v>2463.6621599999994</v>
      </c>
      <c r="AX12" t="s">
        <v>118</v>
      </c>
      <c r="AY12" t="s">
        <v>299</v>
      </c>
      <c r="AZ12" s="3">
        <v>851713000000</v>
      </c>
      <c r="BA12" t="s">
        <v>156</v>
      </c>
      <c r="BB12" t="s">
        <v>297</v>
      </c>
      <c r="BC12" t="s">
        <v>112</v>
      </c>
      <c r="BD12">
        <v>15</v>
      </c>
      <c r="BE12">
        <v>134</v>
      </c>
      <c r="BF12">
        <v>139</v>
      </c>
      <c r="BG12" t="s">
        <v>113</v>
      </c>
      <c r="BH12" s="6">
        <v>1006.84</v>
      </c>
      <c r="BI12" s="6">
        <v>4003.37</v>
      </c>
      <c r="BJ12" s="6">
        <f t="shared" si="4"/>
        <v>100.68400000000001</v>
      </c>
      <c r="BK12" s="6">
        <f t="shared" si="5"/>
        <v>30.205200000000001</v>
      </c>
      <c r="BL12" s="6">
        <f t="shared" si="6"/>
        <v>1137.7292000000002</v>
      </c>
      <c r="BM12" s="6">
        <v>602</v>
      </c>
      <c r="BN12" s="6">
        <v>0</v>
      </c>
      <c r="BO12" s="6">
        <f>BL12*1.5</f>
        <v>1706.5938000000003</v>
      </c>
      <c r="BP12" s="6">
        <f>BO12*1.2</f>
        <v>2047.9125600000002</v>
      </c>
      <c r="BQ12" s="6">
        <f t="shared" si="7"/>
        <v>910.18335999999999</v>
      </c>
      <c r="BR12" s="6">
        <f t="shared" si="8"/>
        <v>2047.9125600000002</v>
      </c>
      <c r="BS12" t="s">
        <v>118</v>
      </c>
      <c r="BT12" t="s">
        <v>300</v>
      </c>
      <c r="BU12" s="3">
        <v>701349100000</v>
      </c>
      <c r="BV12" t="s">
        <v>158</v>
      </c>
      <c r="BW12" t="s">
        <v>297</v>
      </c>
      <c r="BX12" t="s">
        <v>112</v>
      </c>
      <c r="BY12">
        <v>18</v>
      </c>
      <c r="BZ12">
        <v>134</v>
      </c>
      <c r="CA12">
        <v>139</v>
      </c>
      <c r="CB12" t="s">
        <v>113</v>
      </c>
      <c r="CC12" s="6">
        <v>1179.67</v>
      </c>
      <c r="CD12" s="6">
        <v>4003.37</v>
      </c>
      <c r="CE12" s="6">
        <f t="shared" si="9"/>
        <v>117.96700000000001</v>
      </c>
      <c r="CF12" s="6">
        <f t="shared" si="10"/>
        <v>35.390100000000004</v>
      </c>
      <c r="CG12" s="6">
        <f t="shared" si="11"/>
        <v>1333.0271000000002</v>
      </c>
      <c r="CH12" s="6">
        <v>501</v>
      </c>
      <c r="CI12" s="6">
        <f>CG12*1.05</f>
        <v>1399.6784550000002</v>
      </c>
      <c r="CJ12" s="6">
        <v>0</v>
      </c>
      <c r="CK12" s="6">
        <f>CI12*1.2</f>
        <v>1679.6141460000001</v>
      </c>
      <c r="CL12" s="6">
        <f t="shared" si="12"/>
        <v>346.58704599999987</v>
      </c>
      <c r="CM12" s="6">
        <f t="shared" si="13"/>
        <v>1679.6141460000001</v>
      </c>
      <c r="CN12" t="s">
        <v>118</v>
      </c>
      <c r="CO12" t="s">
        <v>301</v>
      </c>
      <c r="CP12">
        <f t="shared" ca="1" si="14"/>
        <v>0.86506851193075474</v>
      </c>
      <c r="CQ12">
        <v>1</v>
      </c>
      <c r="CR12" s="10" t="str">
        <f t="shared" si="15"/>
        <v>20.12.2025 22:00</v>
      </c>
    </row>
    <row r="13" spans="1:97" x14ac:dyDescent="0.35">
      <c r="A13">
        <v>1222603015</v>
      </c>
      <c r="B13" t="s">
        <v>238</v>
      </c>
      <c r="C13" t="s">
        <v>387</v>
      </c>
      <c r="D13" t="s">
        <v>93</v>
      </c>
      <c r="E13">
        <v>4000</v>
      </c>
      <c r="F13" t="s">
        <v>94</v>
      </c>
      <c r="G13" t="s">
        <v>95</v>
      </c>
      <c r="H13" t="s">
        <v>96</v>
      </c>
      <c r="I13" t="s">
        <v>175</v>
      </c>
      <c r="J13" t="s">
        <v>176</v>
      </c>
      <c r="K13" s="6">
        <f t="shared" si="0"/>
        <v>4077.9230046000002</v>
      </c>
      <c r="L13" t="s">
        <v>99</v>
      </c>
      <c r="M13" t="s">
        <v>100</v>
      </c>
      <c r="N13" t="s">
        <v>177</v>
      </c>
      <c r="O13" t="s">
        <v>96</v>
      </c>
      <c r="P13" t="s">
        <v>96</v>
      </c>
      <c r="Q13" t="s">
        <v>388</v>
      </c>
      <c r="R13" t="s">
        <v>179</v>
      </c>
      <c r="S13" t="s">
        <v>104</v>
      </c>
      <c r="T13">
        <v>0</v>
      </c>
      <c r="U13">
        <v>30</v>
      </c>
      <c r="V13">
        <v>30</v>
      </c>
      <c r="W13" t="s">
        <v>105</v>
      </c>
      <c r="X13" t="s">
        <v>106</v>
      </c>
      <c r="Y13" t="s">
        <v>107</v>
      </c>
      <c r="Z13" t="s">
        <v>108</v>
      </c>
      <c r="AA13">
        <v>474</v>
      </c>
      <c r="AB13">
        <v>489</v>
      </c>
      <c r="AC13" t="s">
        <v>109</v>
      </c>
      <c r="AD13" t="s">
        <v>207</v>
      </c>
      <c r="AE13" s="3">
        <v>292241000000</v>
      </c>
      <c r="AF13" t="s">
        <v>129</v>
      </c>
      <c r="AG13" t="s">
        <v>179</v>
      </c>
      <c r="AH13" t="s">
        <v>112</v>
      </c>
      <c r="AI13">
        <v>5</v>
      </c>
      <c r="AJ13">
        <v>158</v>
      </c>
      <c r="AK13">
        <v>163</v>
      </c>
      <c r="AL13" t="s">
        <v>113</v>
      </c>
      <c r="AM13" s="6">
        <v>1050.95</v>
      </c>
      <c r="AN13" s="6">
        <v>2932.51</v>
      </c>
      <c r="AO13" s="6">
        <f t="shared" si="1"/>
        <v>105.09500000000001</v>
      </c>
      <c r="AP13" s="6">
        <f t="shared" si="2"/>
        <v>31.528500000000001</v>
      </c>
      <c r="AQ13" s="6">
        <f t="shared" si="3"/>
        <v>1187.5735</v>
      </c>
      <c r="AR13">
        <v>501</v>
      </c>
      <c r="AS13" s="6">
        <v>0</v>
      </c>
      <c r="AT13" s="6">
        <v>0</v>
      </c>
      <c r="AU13" s="6">
        <f>AQ13*1.2</f>
        <v>1425.0881999999999</v>
      </c>
      <c r="AV13" s="6">
        <f t="shared" si="16"/>
        <v>237.51469999999995</v>
      </c>
      <c r="AW13" s="6">
        <f t="shared" si="17"/>
        <v>1425.0881999999999</v>
      </c>
      <c r="AX13" t="s">
        <v>114</v>
      </c>
      <c r="AY13" t="s">
        <v>389</v>
      </c>
      <c r="AZ13" s="3">
        <v>390110900000</v>
      </c>
      <c r="BA13" t="s">
        <v>131</v>
      </c>
      <c r="BB13" t="s">
        <v>179</v>
      </c>
      <c r="BC13" t="s">
        <v>117</v>
      </c>
      <c r="BD13">
        <v>9</v>
      </c>
      <c r="BE13">
        <v>158</v>
      </c>
      <c r="BF13">
        <v>163</v>
      </c>
      <c r="BG13" t="s">
        <v>113</v>
      </c>
      <c r="BH13" s="6">
        <v>1150.8900000000001</v>
      </c>
      <c r="BI13" s="6">
        <v>2932.51</v>
      </c>
      <c r="BJ13" s="6">
        <f t="shared" si="4"/>
        <v>115.08900000000001</v>
      </c>
      <c r="BK13" s="6">
        <f t="shared" si="5"/>
        <v>34.526700000000005</v>
      </c>
      <c r="BL13" s="6">
        <f t="shared" si="6"/>
        <v>1300.5057000000002</v>
      </c>
      <c r="BM13" s="6">
        <v>501</v>
      </c>
      <c r="BN13" s="6">
        <f>BL13*1.065</f>
        <v>1385.0385705000001</v>
      </c>
      <c r="BO13" s="6">
        <v>0</v>
      </c>
      <c r="BP13" s="6">
        <f>BN13*1.2</f>
        <v>1662.0462846</v>
      </c>
      <c r="BQ13" s="6">
        <f t="shared" si="7"/>
        <v>361.54058459999987</v>
      </c>
      <c r="BR13" s="6">
        <f t="shared" si="8"/>
        <v>1662.0462846</v>
      </c>
      <c r="BS13" t="s">
        <v>114</v>
      </c>
      <c r="BT13" t="s">
        <v>390</v>
      </c>
      <c r="BU13" s="3">
        <v>310210100000</v>
      </c>
      <c r="BV13" t="s">
        <v>133</v>
      </c>
      <c r="BW13" t="s">
        <v>179</v>
      </c>
      <c r="BX13" t="s">
        <v>117</v>
      </c>
      <c r="BY13">
        <v>20</v>
      </c>
      <c r="BZ13">
        <v>158</v>
      </c>
      <c r="CA13">
        <v>163</v>
      </c>
      <c r="CB13" t="s">
        <v>113</v>
      </c>
      <c r="CC13" s="6">
        <v>730.67</v>
      </c>
      <c r="CD13" s="6">
        <v>2932.51</v>
      </c>
      <c r="CE13" s="6">
        <f t="shared" si="9"/>
        <v>73.066999999999993</v>
      </c>
      <c r="CF13" s="6">
        <f t="shared" si="10"/>
        <v>21.920099999999998</v>
      </c>
      <c r="CG13" s="6">
        <f t="shared" si="11"/>
        <v>825.65710000000001</v>
      </c>
      <c r="CH13" s="6">
        <v>501</v>
      </c>
      <c r="CI13" s="6">
        <v>0</v>
      </c>
      <c r="CJ13" s="6">
        <v>0</v>
      </c>
      <c r="CK13" s="6">
        <f>CG13*1.2</f>
        <v>990.78851999999995</v>
      </c>
      <c r="CL13" s="6">
        <f t="shared" si="12"/>
        <v>165.13141999999993</v>
      </c>
      <c r="CM13" s="6">
        <f t="shared" si="13"/>
        <v>990.78851999999995</v>
      </c>
      <c r="CN13" t="s">
        <v>114</v>
      </c>
      <c r="CO13" t="s">
        <v>391</v>
      </c>
      <c r="CP13">
        <f t="shared" ca="1" si="14"/>
        <v>0.49331134135751964</v>
      </c>
      <c r="CQ13">
        <v>1</v>
      </c>
      <c r="CR13" s="10" t="str">
        <f t="shared" si="15"/>
        <v>20.12.2025 22:00</v>
      </c>
    </row>
    <row r="14" spans="1:97" x14ac:dyDescent="0.35">
      <c r="A14">
        <v>1222603016</v>
      </c>
      <c r="B14" t="s">
        <v>247</v>
      </c>
      <c r="C14" t="s">
        <v>521</v>
      </c>
      <c r="D14" t="s">
        <v>93</v>
      </c>
      <c r="E14">
        <v>4000</v>
      </c>
      <c r="F14" t="s">
        <v>94</v>
      </c>
      <c r="G14" t="s">
        <v>95</v>
      </c>
      <c r="H14" t="s">
        <v>96</v>
      </c>
      <c r="I14" t="s">
        <v>150</v>
      </c>
      <c r="J14" t="s">
        <v>98</v>
      </c>
      <c r="K14" s="6">
        <f t="shared" si="0"/>
        <v>1941.7784399999998</v>
      </c>
      <c r="L14" t="s">
        <v>99</v>
      </c>
      <c r="M14" t="s">
        <v>100</v>
      </c>
      <c r="N14" t="s">
        <v>151</v>
      </c>
      <c r="O14" t="s">
        <v>96</v>
      </c>
      <c r="P14" t="s">
        <v>96</v>
      </c>
      <c r="Q14" t="s">
        <v>522</v>
      </c>
      <c r="R14" t="s">
        <v>153</v>
      </c>
      <c r="S14" t="s">
        <v>104</v>
      </c>
      <c r="T14">
        <v>0</v>
      </c>
      <c r="U14">
        <v>30</v>
      </c>
      <c r="V14">
        <v>30</v>
      </c>
      <c r="W14" t="s">
        <v>105</v>
      </c>
      <c r="X14" t="s">
        <v>106</v>
      </c>
      <c r="Y14" t="s">
        <v>107</v>
      </c>
      <c r="Z14" t="s">
        <v>108</v>
      </c>
      <c r="AA14">
        <v>606</v>
      </c>
      <c r="AB14">
        <v>621</v>
      </c>
      <c r="AC14" t="s">
        <v>109</v>
      </c>
      <c r="AD14" t="s">
        <v>110</v>
      </c>
      <c r="AE14" s="3">
        <v>610910000000</v>
      </c>
      <c r="AF14" t="s">
        <v>141</v>
      </c>
      <c r="AG14" t="s">
        <v>153</v>
      </c>
      <c r="AH14" t="s">
        <v>142</v>
      </c>
      <c r="AI14">
        <v>15</v>
      </c>
      <c r="AJ14">
        <v>202</v>
      </c>
      <c r="AK14">
        <v>207</v>
      </c>
      <c r="AL14" t="s">
        <v>113</v>
      </c>
      <c r="AM14" s="6">
        <v>474.51</v>
      </c>
      <c r="AN14" s="6">
        <f>AM14*1.08</f>
        <v>512.47080000000005</v>
      </c>
      <c r="AO14" s="6">
        <f t="shared" si="1"/>
        <v>47.451000000000001</v>
      </c>
      <c r="AP14" s="6">
        <f t="shared" si="2"/>
        <v>14.235299999999999</v>
      </c>
      <c r="AQ14" s="6">
        <f t="shared" si="3"/>
        <v>536.19630000000006</v>
      </c>
      <c r="AR14">
        <v>501</v>
      </c>
      <c r="AS14" s="6">
        <v>0</v>
      </c>
      <c r="AT14" s="6">
        <v>0</v>
      </c>
      <c r="AU14" s="6">
        <f>AQ14*1.2</f>
        <v>643.43556000000001</v>
      </c>
      <c r="AV14" s="6">
        <f t="shared" si="16"/>
        <v>107.23925999999994</v>
      </c>
      <c r="AW14" s="6">
        <f t="shared" si="17"/>
        <v>643.43556000000001</v>
      </c>
      <c r="AX14" t="s">
        <v>114</v>
      </c>
      <c r="AY14" t="s">
        <v>523</v>
      </c>
      <c r="AZ14" s="3">
        <v>620342000000</v>
      </c>
      <c r="BA14" t="s">
        <v>144</v>
      </c>
      <c r="BB14" t="s">
        <v>153</v>
      </c>
      <c r="BC14" t="s">
        <v>142</v>
      </c>
      <c r="BD14">
        <v>17</v>
      </c>
      <c r="BE14">
        <v>202</v>
      </c>
      <c r="BF14">
        <v>207</v>
      </c>
      <c r="BG14" t="s">
        <v>113</v>
      </c>
      <c r="BH14" s="6">
        <v>449.46</v>
      </c>
      <c r="BI14" s="6">
        <f>BH14*1.08</f>
        <v>485.41680000000002</v>
      </c>
      <c r="BJ14" s="6">
        <f t="shared" si="4"/>
        <v>44.945999999999998</v>
      </c>
      <c r="BK14" s="6">
        <f t="shared" si="5"/>
        <v>13.483799999999999</v>
      </c>
      <c r="BL14" s="6">
        <f t="shared" si="6"/>
        <v>507.88979999999992</v>
      </c>
      <c r="BM14" s="6">
        <v>501</v>
      </c>
      <c r="BN14" s="6">
        <v>0</v>
      </c>
      <c r="BO14" s="6">
        <v>0</v>
      </c>
      <c r="BP14" s="6">
        <f>BL14*1.2</f>
        <v>609.46775999999988</v>
      </c>
      <c r="BQ14" s="6">
        <f t="shared" si="7"/>
        <v>101.57795999999996</v>
      </c>
      <c r="BR14" s="6">
        <f t="shared" si="8"/>
        <v>609.46775999999988</v>
      </c>
      <c r="BS14" t="s">
        <v>114</v>
      </c>
      <c r="BT14" t="s">
        <v>524</v>
      </c>
      <c r="BU14" s="3">
        <v>520512000000</v>
      </c>
      <c r="BV14" t="s">
        <v>146</v>
      </c>
      <c r="BW14" t="s">
        <v>153</v>
      </c>
      <c r="BX14" t="s">
        <v>142</v>
      </c>
      <c r="BY14">
        <v>7</v>
      </c>
      <c r="BZ14">
        <v>202</v>
      </c>
      <c r="CA14">
        <v>207</v>
      </c>
      <c r="CB14" t="s">
        <v>113</v>
      </c>
      <c r="CC14" s="6">
        <v>508.02</v>
      </c>
      <c r="CD14" s="6">
        <f>CC14*1.08</f>
        <v>548.66160000000002</v>
      </c>
      <c r="CE14" s="6">
        <f t="shared" si="9"/>
        <v>50.802</v>
      </c>
      <c r="CF14" s="6">
        <f t="shared" si="10"/>
        <v>15.240599999999999</v>
      </c>
      <c r="CG14" s="6">
        <f t="shared" si="11"/>
        <v>574.06259999999997</v>
      </c>
      <c r="CH14" s="6">
        <v>501</v>
      </c>
      <c r="CI14" s="6">
        <v>0</v>
      </c>
      <c r="CJ14" s="6">
        <v>0</v>
      </c>
      <c r="CK14" s="6">
        <f>CG14*1.2</f>
        <v>688.87511999999992</v>
      </c>
      <c r="CL14" s="6">
        <f t="shared" si="12"/>
        <v>114.81251999999995</v>
      </c>
      <c r="CM14" s="6">
        <f t="shared" si="13"/>
        <v>688.87511999999992</v>
      </c>
      <c r="CN14" t="s">
        <v>114</v>
      </c>
      <c r="CO14" t="s">
        <v>525</v>
      </c>
      <c r="CP14">
        <f t="shared" ca="1" si="14"/>
        <v>0.35588295138900317</v>
      </c>
      <c r="CQ14">
        <v>1</v>
      </c>
      <c r="CR14" s="10" t="str">
        <f t="shared" si="15"/>
        <v>20.12.2025 22:00</v>
      </c>
    </row>
    <row r="15" spans="1:97" x14ac:dyDescent="0.35">
      <c r="A15">
        <v>1222603017</v>
      </c>
      <c r="B15" t="s">
        <v>256</v>
      </c>
      <c r="C15" t="s">
        <v>539</v>
      </c>
      <c r="D15" t="s">
        <v>93</v>
      </c>
      <c r="E15">
        <v>4000</v>
      </c>
      <c r="F15" t="s">
        <v>94</v>
      </c>
      <c r="G15" t="s">
        <v>95</v>
      </c>
      <c r="H15" t="s">
        <v>96</v>
      </c>
      <c r="I15" t="s">
        <v>190</v>
      </c>
      <c r="J15" t="s">
        <v>98</v>
      </c>
      <c r="K15" s="6">
        <f t="shared" si="0"/>
        <v>4100.5711200000005</v>
      </c>
      <c r="L15" t="s">
        <v>99</v>
      </c>
      <c r="M15" t="s">
        <v>100</v>
      </c>
      <c r="N15" t="s">
        <v>191</v>
      </c>
      <c r="O15" t="s">
        <v>96</v>
      </c>
      <c r="P15" t="s">
        <v>96</v>
      </c>
      <c r="Q15" t="s">
        <v>540</v>
      </c>
      <c r="R15" t="s">
        <v>127</v>
      </c>
      <c r="S15" t="s">
        <v>104</v>
      </c>
      <c r="T15">
        <v>0</v>
      </c>
      <c r="U15">
        <v>30</v>
      </c>
      <c r="V15">
        <v>30</v>
      </c>
      <c r="W15" t="s">
        <v>105</v>
      </c>
      <c r="X15" t="s">
        <v>106</v>
      </c>
      <c r="Y15" t="s">
        <v>107</v>
      </c>
      <c r="Z15" t="s">
        <v>108</v>
      </c>
      <c r="AA15">
        <v>624</v>
      </c>
      <c r="AB15">
        <v>639</v>
      </c>
      <c r="AC15" t="s">
        <v>109</v>
      </c>
      <c r="AD15" t="s">
        <v>298</v>
      </c>
      <c r="AE15" s="3">
        <v>940360100000</v>
      </c>
      <c r="AF15" t="s">
        <v>181</v>
      </c>
      <c r="AG15" t="s">
        <v>127</v>
      </c>
      <c r="AH15" t="s">
        <v>182</v>
      </c>
      <c r="AI15">
        <v>9</v>
      </c>
      <c r="AJ15">
        <v>208</v>
      </c>
      <c r="AK15">
        <v>213</v>
      </c>
      <c r="AL15" t="s">
        <v>113</v>
      </c>
      <c r="AM15" s="6">
        <v>963.01</v>
      </c>
      <c r="AN15" s="6">
        <f>AM15*1.08</f>
        <v>1040.0508</v>
      </c>
      <c r="AO15" s="6">
        <f t="shared" si="1"/>
        <v>96.301000000000002</v>
      </c>
      <c r="AP15" s="6">
        <f t="shared" si="2"/>
        <v>28.8903</v>
      </c>
      <c r="AQ15" s="6">
        <f t="shared" si="3"/>
        <v>1088.2012999999999</v>
      </c>
      <c r="AR15">
        <v>501</v>
      </c>
      <c r="AS15" s="6">
        <v>0</v>
      </c>
      <c r="AT15" s="6">
        <v>0</v>
      </c>
      <c r="AU15" s="6">
        <f>AQ15*1.2</f>
        <v>1305.8415599999998</v>
      </c>
      <c r="AV15" s="6">
        <f t="shared" si="16"/>
        <v>217.6402599999999</v>
      </c>
      <c r="AW15" s="6">
        <f t="shared" si="17"/>
        <v>1305.8415599999998</v>
      </c>
      <c r="AX15" t="s">
        <v>114</v>
      </c>
      <c r="AY15" t="s">
        <v>541</v>
      </c>
      <c r="AZ15" s="3">
        <v>440711100000</v>
      </c>
      <c r="BA15" t="s">
        <v>184</v>
      </c>
      <c r="BB15" t="s">
        <v>127</v>
      </c>
      <c r="BC15" t="s">
        <v>103</v>
      </c>
      <c r="BD15">
        <v>14</v>
      </c>
      <c r="BE15">
        <v>208</v>
      </c>
      <c r="BF15">
        <v>213</v>
      </c>
      <c r="BG15" t="s">
        <v>113</v>
      </c>
      <c r="BH15" s="6">
        <v>1103.44</v>
      </c>
      <c r="BI15" s="6">
        <f>BH15*1.08</f>
        <v>1191.7152000000001</v>
      </c>
      <c r="BJ15" s="6">
        <f t="shared" si="4"/>
        <v>110.34400000000001</v>
      </c>
      <c r="BK15" s="6">
        <f t="shared" si="5"/>
        <v>33.103200000000001</v>
      </c>
      <c r="BL15" s="6">
        <f t="shared" si="6"/>
        <v>1246.8872000000001</v>
      </c>
      <c r="BM15" s="6">
        <v>501</v>
      </c>
      <c r="BN15" s="6">
        <v>0</v>
      </c>
      <c r="BO15" s="6">
        <v>0</v>
      </c>
      <c r="BP15" s="6">
        <f>BL15*1.2</f>
        <v>1496.2646400000001</v>
      </c>
      <c r="BQ15" s="6">
        <f t="shared" si="7"/>
        <v>249.37743999999998</v>
      </c>
      <c r="BR15" s="6">
        <f t="shared" si="8"/>
        <v>1496.2646400000001</v>
      </c>
      <c r="BS15" t="s">
        <v>114</v>
      </c>
      <c r="BT15" t="s">
        <v>542</v>
      </c>
      <c r="BU15" s="3">
        <v>690721000000</v>
      </c>
      <c r="BV15" t="s">
        <v>186</v>
      </c>
      <c r="BW15" t="s">
        <v>127</v>
      </c>
      <c r="BX15" t="s">
        <v>112</v>
      </c>
      <c r="BY15">
        <v>13</v>
      </c>
      <c r="BZ15">
        <v>208</v>
      </c>
      <c r="CA15">
        <v>213</v>
      </c>
      <c r="CB15" t="s">
        <v>113</v>
      </c>
      <c r="CC15" s="6">
        <v>957.57</v>
      </c>
      <c r="CD15" s="6">
        <f>CC15*1.08</f>
        <v>1034.1756</v>
      </c>
      <c r="CE15" s="6">
        <f t="shared" si="9"/>
        <v>95.757000000000005</v>
      </c>
      <c r="CF15" s="6">
        <f t="shared" si="10"/>
        <v>28.7271</v>
      </c>
      <c r="CG15" s="6">
        <f t="shared" si="11"/>
        <v>1082.0541000000001</v>
      </c>
      <c r="CH15" s="6">
        <v>501</v>
      </c>
      <c r="CI15" s="6">
        <v>0</v>
      </c>
      <c r="CJ15" s="6">
        <v>0</v>
      </c>
      <c r="CK15" s="6">
        <f>CG15*1.2</f>
        <v>1298.4649200000001</v>
      </c>
      <c r="CL15" s="6">
        <f t="shared" si="12"/>
        <v>216.41082000000006</v>
      </c>
      <c r="CM15" s="6">
        <f t="shared" si="13"/>
        <v>1298.4649200000001</v>
      </c>
      <c r="CN15" t="s">
        <v>114</v>
      </c>
      <c r="CO15" t="s">
        <v>543</v>
      </c>
      <c r="CP15">
        <f t="shared" ca="1" si="14"/>
        <v>0.8875223454688258</v>
      </c>
      <c r="CQ15">
        <v>1</v>
      </c>
      <c r="CR15" s="10" t="str">
        <f t="shared" si="15"/>
        <v>20.12.2025 22:00</v>
      </c>
    </row>
    <row r="16" spans="1:97" x14ac:dyDescent="0.35">
      <c r="A16">
        <v>1222603018</v>
      </c>
      <c r="B16" t="s">
        <v>265</v>
      </c>
      <c r="C16" t="s">
        <v>417</v>
      </c>
      <c r="D16" t="s">
        <v>93</v>
      </c>
      <c r="E16">
        <v>4000</v>
      </c>
      <c r="F16" t="s">
        <v>94</v>
      </c>
      <c r="G16" t="s">
        <v>95</v>
      </c>
      <c r="H16" t="s">
        <v>96</v>
      </c>
      <c r="I16" t="s">
        <v>231</v>
      </c>
      <c r="J16" t="s">
        <v>98</v>
      </c>
      <c r="K16" s="6">
        <f t="shared" si="0"/>
        <v>40074.128352</v>
      </c>
      <c r="L16" t="s">
        <v>99</v>
      </c>
      <c r="M16" t="s">
        <v>100</v>
      </c>
      <c r="N16" t="s">
        <v>232</v>
      </c>
      <c r="O16" t="s">
        <v>96</v>
      </c>
      <c r="P16" t="s">
        <v>96</v>
      </c>
      <c r="Q16" t="s">
        <v>418</v>
      </c>
      <c r="R16" t="s">
        <v>96</v>
      </c>
      <c r="S16" t="s">
        <v>104</v>
      </c>
      <c r="T16">
        <v>0</v>
      </c>
      <c r="U16">
        <v>30</v>
      </c>
      <c r="V16">
        <v>30</v>
      </c>
      <c r="W16" t="s">
        <v>105</v>
      </c>
      <c r="X16" t="s">
        <v>106</v>
      </c>
      <c r="Y16" t="s">
        <v>107</v>
      </c>
      <c r="Z16" t="s">
        <v>108</v>
      </c>
      <c r="AA16">
        <v>504</v>
      </c>
      <c r="AB16">
        <v>519</v>
      </c>
      <c r="AC16" t="s">
        <v>109</v>
      </c>
      <c r="AD16" t="s">
        <v>207</v>
      </c>
      <c r="AE16" s="3">
        <v>870323190000</v>
      </c>
      <c r="AF16" t="s">
        <v>194</v>
      </c>
      <c r="AG16" t="s">
        <v>234</v>
      </c>
      <c r="AH16" t="s">
        <v>195</v>
      </c>
      <c r="AI16">
        <v>5</v>
      </c>
      <c r="AJ16">
        <v>168</v>
      </c>
      <c r="AK16">
        <v>173</v>
      </c>
      <c r="AL16" t="s">
        <v>113</v>
      </c>
      <c r="AM16" s="6">
        <v>7836.84</v>
      </c>
      <c r="AN16" s="6">
        <f>AM16*1.08</f>
        <v>8463.7872000000007</v>
      </c>
      <c r="AO16" s="6">
        <f t="shared" si="1"/>
        <v>783.68400000000008</v>
      </c>
      <c r="AP16" s="6">
        <f t="shared" si="2"/>
        <v>235.1052</v>
      </c>
      <c r="AQ16" s="6">
        <f t="shared" si="3"/>
        <v>8855.6291999999994</v>
      </c>
      <c r="AR16">
        <v>602</v>
      </c>
      <c r="AS16" s="6">
        <v>0</v>
      </c>
      <c r="AT16" s="6">
        <f>AQ16*1.8</f>
        <v>15940.13256</v>
      </c>
      <c r="AU16" s="6">
        <f>AT16*1.2</f>
        <v>19128.159071999999</v>
      </c>
      <c r="AV16" s="6">
        <f t="shared" si="16"/>
        <v>10272.529871999999</v>
      </c>
      <c r="AW16" s="6">
        <f t="shared" si="17"/>
        <v>19128.159071999999</v>
      </c>
      <c r="AX16" t="s">
        <v>114</v>
      </c>
      <c r="AY16" t="s">
        <v>419</v>
      </c>
      <c r="AZ16" s="3">
        <v>842720000000</v>
      </c>
      <c r="BA16" t="s">
        <v>197</v>
      </c>
      <c r="BB16" t="s">
        <v>234</v>
      </c>
      <c r="BC16" t="s">
        <v>195</v>
      </c>
      <c r="BD16">
        <v>10</v>
      </c>
      <c r="BE16">
        <v>168</v>
      </c>
      <c r="BF16">
        <v>173</v>
      </c>
      <c r="BG16" t="s">
        <v>113</v>
      </c>
      <c r="BH16" s="6">
        <v>7628.5</v>
      </c>
      <c r="BI16" s="6">
        <f>BH16*1.08</f>
        <v>8238.7800000000007</v>
      </c>
      <c r="BJ16" s="6">
        <f t="shared" si="4"/>
        <v>762.85</v>
      </c>
      <c r="BK16" s="6">
        <f t="shared" si="5"/>
        <v>228.85499999999999</v>
      </c>
      <c r="BL16" s="6">
        <f t="shared" si="6"/>
        <v>8620.2049999999999</v>
      </c>
      <c r="BM16" s="6">
        <v>501</v>
      </c>
      <c r="BN16" s="6">
        <v>0</v>
      </c>
      <c r="BO16" s="6">
        <v>0</v>
      </c>
      <c r="BP16" s="6">
        <f>BL16*1.2</f>
        <v>10344.245999999999</v>
      </c>
      <c r="BQ16" s="6">
        <f t="shared" si="7"/>
        <v>1724.0409999999993</v>
      </c>
      <c r="BR16" s="6">
        <f t="shared" si="8"/>
        <v>10344.245999999999</v>
      </c>
      <c r="BS16" t="s">
        <v>114</v>
      </c>
      <c r="BT16" t="s">
        <v>420</v>
      </c>
      <c r="BU16" s="3">
        <v>640399930000</v>
      </c>
      <c r="BV16" t="s">
        <v>199</v>
      </c>
      <c r="BW16" t="s">
        <v>234</v>
      </c>
      <c r="BX16" t="s">
        <v>112</v>
      </c>
      <c r="BY16">
        <v>18</v>
      </c>
      <c r="BZ16">
        <v>168</v>
      </c>
      <c r="CA16">
        <v>173</v>
      </c>
      <c r="CB16" t="s">
        <v>113</v>
      </c>
      <c r="CC16" s="6">
        <v>7818.38</v>
      </c>
      <c r="CD16" s="6">
        <f>CC16*1.08</f>
        <v>8443.8504000000012</v>
      </c>
      <c r="CE16" s="6">
        <f t="shared" si="9"/>
        <v>781.83800000000008</v>
      </c>
      <c r="CF16" s="6">
        <f t="shared" si="10"/>
        <v>234.5514</v>
      </c>
      <c r="CG16" s="6">
        <f t="shared" si="11"/>
        <v>8834.769400000001</v>
      </c>
      <c r="CH16" s="6">
        <v>501</v>
      </c>
      <c r="CI16" s="6">
        <v>0</v>
      </c>
      <c r="CJ16" s="6">
        <v>0</v>
      </c>
      <c r="CK16" s="6">
        <f>CG16*1.2</f>
        <v>10601.72328</v>
      </c>
      <c r="CL16" s="6">
        <f t="shared" si="12"/>
        <v>1766.9538799999991</v>
      </c>
      <c r="CM16" s="6">
        <f t="shared" si="13"/>
        <v>10601.72328</v>
      </c>
      <c r="CN16" t="s">
        <v>114</v>
      </c>
      <c r="CO16" t="s">
        <v>421</v>
      </c>
      <c r="CP16">
        <f t="shared" ca="1" si="14"/>
        <v>0.33998833688902008</v>
      </c>
      <c r="CQ16">
        <v>1</v>
      </c>
      <c r="CR16" s="10" t="str">
        <f t="shared" si="15"/>
        <v>20.12.2025 22:00</v>
      </c>
    </row>
    <row r="17" spans="1:96" x14ac:dyDescent="0.35">
      <c r="A17">
        <v>1222603019</v>
      </c>
      <c r="B17" t="s">
        <v>274</v>
      </c>
      <c r="C17" t="s">
        <v>284</v>
      </c>
      <c r="D17" t="s">
        <v>93</v>
      </c>
      <c r="E17">
        <v>4000</v>
      </c>
      <c r="F17" t="s">
        <v>94</v>
      </c>
      <c r="G17" t="s">
        <v>95</v>
      </c>
      <c r="H17" t="s">
        <v>96</v>
      </c>
      <c r="I17" t="s">
        <v>285</v>
      </c>
      <c r="J17" t="s">
        <v>176</v>
      </c>
      <c r="K17" s="6">
        <f t="shared" si="0"/>
        <v>1866.4087056000003</v>
      </c>
      <c r="L17" t="s">
        <v>99</v>
      </c>
      <c r="M17" t="s">
        <v>100</v>
      </c>
      <c r="N17" t="s">
        <v>286</v>
      </c>
      <c r="O17" t="s">
        <v>96</v>
      </c>
      <c r="P17" t="s">
        <v>96</v>
      </c>
      <c r="Q17" t="s">
        <v>287</v>
      </c>
      <c r="R17" t="s">
        <v>288</v>
      </c>
      <c r="S17" t="s">
        <v>104</v>
      </c>
      <c r="T17">
        <v>0</v>
      </c>
      <c r="U17">
        <v>30</v>
      </c>
      <c r="V17">
        <v>30</v>
      </c>
      <c r="W17" t="s">
        <v>105</v>
      </c>
      <c r="X17" t="s">
        <v>106</v>
      </c>
      <c r="Y17" t="s">
        <v>107</v>
      </c>
      <c r="Z17" t="s">
        <v>108</v>
      </c>
      <c r="AA17">
        <v>396</v>
      </c>
      <c r="AB17">
        <v>411</v>
      </c>
      <c r="AC17" t="s">
        <v>109</v>
      </c>
      <c r="AD17" t="s">
        <v>193</v>
      </c>
      <c r="AE17" s="3">
        <v>610910000000</v>
      </c>
      <c r="AF17" t="s">
        <v>141</v>
      </c>
      <c r="AG17" t="s">
        <v>288</v>
      </c>
      <c r="AH17" t="s">
        <v>142</v>
      </c>
      <c r="AI17">
        <v>14</v>
      </c>
      <c r="AJ17">
        <v>132</v>
      </c>
      <c r="AK17">
        <v>137</v>
      </c>
      <c r="AL17" t="s">
        <v>113</v>
      </c>
      <c r="AM17" s="6">
        <v>577.49</v>
      </c>
      <c r="AN17" s="6">
        <v>1240.5999999999999</v>
      </c>
      <c r="AO17" s="6">
        <f t="shared" si="1"/>
        <v>57.749000000000002</v>
      </c>
      <c r="AP17" s="6">
        <f t="shared" si="2"/>
        <v>17.3247</v>
      </c>
      <c r="AQ17" s="6">
        <f t="shared" si="3"/>
        <v>652.56370000000004</v>
      </c>
      <c r="AR17">
        <v>101</v>
      </c>
      <c r="AS17" s="6">
        <f>AQ17*1.12</f>
        <v>730.87134400000014</v>
      </c>
      <c r="AT17" s="6">
        <v>0</v>
      </c>
      <c r="AU17" s="6">
        <f>AS17*1.2</f>
        <v>877.04561280000019</v>
      </c>
      <c r="AV17" s="6">
        <f t="shared" si="16"/>
        <v>224.48191280000015</v>
      </c>
      <c r="AW17" s="6">
        <f t="shared" si="17"/>
        <v>877.04561280000019</v>
      </c>
      <c r="AX17" t="s">
        <v>118</v>
      </c>
      <c r="AY17" t="s">
        <v>289</v>
      </c>
      <c r="AZ17" s="3">
        <v>620342000000</v>
      </c>
      <c r="BA17" t="s">
        <v>144</v>
      </c>
      <c r="BB17" t="s">
        <v>288</v>
      </c>
      <c r="BC17" t="s">
        <v>142</v>
      </c>
      <c r="BD17">
        <v>16</v>
      </c>
      <c r="BE17">
        <v>132</v>
      </c>
      <c r="BF17">
        <v>137</v>
      </c>
      <c r="BG17" t="s">
        <v>113</v>
      </c>
      <c r="BH17" s="6">
        <v>336.5</v>
      </c>
      <c r="BI17" s="6">
        <v>1240.5999999999999</v>
      </c>
      <c r="BJ17" s="6">
        <f t="shared" si="4"/>
        <v>33.65</v>
      </c>
      <c r="BK17" s="6">
        <f t="shared" si="5"/>
        <v>10.094999999999999</v>
      </c>
      <c r="BL17" s="6">
        <f t="shared" si="6"/>
        <v>380.245</v>
      </c>
      <c r="BM17" s="6">
        <v>101</v>
      </c>
      <c r="BN17" s="6">
        <f>BL17*1.12</f>
        <v>425.87440000000004</v>
      </c>
      <c r="BO17" s="6">
        <v>0</v>
      </c>
      <c r="BP17" s="6">
        <f>BN17*1.2</f>
        <v>511.04928000000001</v>
      </c>
      <c r="BQ17" s="6">
        <f t="shared" si="7"/>
        <v>130.80428000000001</v>
      </c>
      <c r="BR17" s="6">
        <f t="shared" si="8"/>
        <v>511.04928000000001</v>
      </c>
      <c r="BS17" t="s">
        <v>118</v>
      </c>
      <c r="BT17" t="s">
        <v>290</v>
      </c>
      <c r="BU17" s="3">
        <v>520512000000</v>
      </c>
      <c r="BV17" t="s">
        <v>146</v>
      </c>
      <c r="BW17" t="s">
        <v>288</v>
      </c>
      <c r="BX17" t="s">
        <v>142</v>
      </c>
      <c r="BY17">
        <v>7</v>
      </c>
      <c r="BZ17">
        <v>132</v>
      </c>
      <c r="CA17">
        <v>137</v>
      </c>
      <c r="CB17" t="s">
        <v>113</v>
      </c>
      <c r="CC17" s="6">
        <v>326.61</v>
      </c>
      <c r="CD17" s="6">
        <v>1240.5999999999999</v>
      </c>
      <c r="CE17" s="6">
        <f t="shared" si="9"/>
        <v>32.661000000000001</v>
      </c>
      <c r="CF17" s="6">
        <f t="shared" si="10"/>
        <v>9.7982999999999993</v>
      </c>
      <c r="CG17" s="6">
        <f t="shared" si="11"/>
        <v>369.0693</v>
      </c>
      <c r="CH17" s="6">
        <v>101</v>
      </c>
      <c r="CI17" s="6">
        <f>CG17*1.08</f>
        <v>398.59484400000002</v>
      </c>
      <c r="CJ17" s="6">
        <v>0</v>
      </c>
      <c r="CK17" s="6">
        <f>CI17*1.2</f>
        <v>478.31381279999999</v>
      </c>
      <c r="CL17" s="6">
        <f t="shared" si="12"/>
        <v>109.2445128</v>
      </c>
      <c r="CM17" s="6">
        <f t="shared" si="13"/>
        <v>478.31381279999999</v>
      </c>
      <c r="CN17" t="s">
        <v>118</v>
      </c>
      <c r="CO17" t="s">
        <v>291</v>
      </c>
      <c r="CP17">
        <f t="shared" ca="1" si="14"/>
        <v>0.47931716667744984</v>
      </c>
      <c r="CQ17">
        <v>1</v>
      </c>
      <c r="CR17" s="10" t="str">
        <f t="shared" si="15"/>
        <v>20.12.2025 22:00</v>
      </c>
    </row>
    <row r="18" spans="1:96" x14ac:dyDescent="0.35">
      <c r="A18">
        <v>1222603020</v>
      </c>
      <c r="B18" t="s">
        <v>283</v>
      </c>
      <c r="C18" t="s">
        <v>275</v>
      </c>
      <c r="D18" t="s">
        <v>93</v>
      </c>
      <c r="E18">
        <v>4000</v>
      </c>
      <c r="F18" t="s">
        <v>94</v>
      </c>
      <c r="G18" t="s">
        <v>95</v>
      </c>
      <c r="H18" t="s">
        <v>96</v>
      </c>
      <c r="I18" t="s">
        <v>276</v>
      </c>
      <c r="J18" t="s">
        <v>176</v>
      </c>
      <c r="K18" s="6">
        <f t="shared" si="0"/>
        <v>3684.6107297999997</v>
      </c>
      <c r="L18" t="s">
        <v>99</v>
      </c>
      <c r="M18" t="s">
        <v>100</v>
      </c>
      <c r="N18" t="s">
        <v>277</v>
      </c>
      <c r="O18" t="s">
        <v>96</v>
      </c>
      <c r="P18" t="s">
        <v>96</v>
      </c>
      <c r="Q18" t="s">
        <v>278</v>
      </c>
      <c r="R18" t="s">
        <v>96</v>
      </c>
      <c r="S18" t="s">
        <v>104</v>
      </c>
      <c r="T18">
        <v>0</v>
      </c>
      <c r="U18">
        <v>30</v>
      </c>
      <c r="V18">
        <v>30</v>
      </c>
      <c r="W18" t="s">
        <v>105</v>
      </c>
      <c r="X18" t="s">
        <v>106</v>
      </c>
      <c r="Y18" t="s">
        <v>107</v>
      </c>
      <c r="Z18" t="s">
        <v>108</v>
      </c>
      <c r="AA18">
        <v>390</v>
      </c>
      <c r="AB18">
        <v>405</v>
      </c>
      <c r="AC18" t="s">
        <v>109</v>
      </c>
      <c r="AD18" t="s">
        <v>180</v>
      </c>
      <c r="AE18" s="3">
        <v>292241000000</v>
      </c>
      <c r="AF18" t="s">
        <v>129</v>
      </c>
      <c r="AG18" t="s">
        <v>279</v>
      </c>
      <c r="AH18" t="s">
        <v>112</v>
      </c>
      <c r="AI18">
        <v>17</v>
      </c>
      <c r="AJ18">
        <v>130</v>
      </c>
      <c r="AK18">
        <v>135</v>
      </c>
      <c r="AL18" t="s">
        <v>113</v>
      </c>
      <c r="AM18" s="6">
        <v>1005.22</v>
      </c>
      <c r="AN18" s="6">
        <v>2616.2600000000002</v>
      </c>
      <c r="AO18" s="6">
        <f t="shared" si="1"/>
        <v>100.52200000000001</v>
      </c>
      <c r="AP18" s="6">
        <f t="shared" si="2"/>
        <v>30.156600000000001</v>
      </c>
      <c r="AQ18" s="6">
        <f t="shared" si="3"/>
        <v>1135.8986</v>
      </c>
      <c r="AR18">
        <v>501</v>
      </c>
      <c r="AS18" s="6">
        <f>AQ18*1.05</f>
        <v>1192.69353</v>
      </c>
      <c r="AT18" s="6">
        <v>0</v>
      </c>
      <c r="AU18" s="6">
        <f>AS18*1.2</f>
        <v>1431.2322360000001</v>
      </c>
      <c r="AV18" s="6">
        <f t="shared" si="16"/>
        <v>295.33363600000007</v>
      </c>
      <c r="AW18" s="6">
        <f t="shared" si="17"/>
        <v>1431.2322360000001</v>
      </c>
      <c r="AX18" t="s">
        <v>118</v>
      </c>
      <c r="AY18" t="s">
        <v>280</v>
      </c>
      <c r="AZ18" s="3">
        <v>390110900000</v>
      </c>
      <c r="BA18" t="s">
        <v>131</v>
      </c>
      <c r="BB18" t="s">
        <v>279</v>
      </c>
      <c r="BC18" t="s">
        <v>117</v>
      </c>
      <c r="BD18">
        <v>19</v>
      </c>
      <c r="BE18">
        <v>130</v>
      </c>
      <c r="BF18">
        <v>135</v>
      </c>
      <c r="BG18" t="s">
        <v>113</v>
      </c>
      <c r="BH18" s="6">
        <v>780.67</v>
      </c>
      <c r="BI18" s="6">
        <v>2616.2600000000002</v>
      </c>
      <c r="BJ18" s="6">
        <f t="shared" si="4"/>
        <v>78.067000000000007</v>
      </c>
      <c r="BK18" s="6">
        <f t="shared" si="5"/>
        <v>23.420099999999998</v>
      </c>
      <c r="BL18" s="6">
        <f t="shared" si="6"/>
        <v>882.15710000000001</v>
      </c>
      <c r="BM18" s="6">
        <v>501</v>
      </c>
      <c r="BN18" s="6">
        <f>BL18*1.065</f>
        <v>939.49731150000002</v>
      </c>
      <c r="BO18" s="6">
        <v>0</v>
      </c>
      <c r="BP18" s="6">
        <f>BN18*1.2</f>
        <v>1127.3967737999999</v>
      </c>
      <c r="BQ18" s="6">
        <f t="shared" si="7"/>
        <v>245.23967379999988</v>
      </c>
      <c r="BR18" s="6">
        <f t="shared" si="8"/>
        <v>1127.3967737999999</v>
      </c>
      <c r="BS18" t="s">
        <v>118</v>
      </c>
      <c r="BT18" t="s">
        <v>281</v>
      </c>
      <c r="BU18" s="3">
        <v>310210100000</v>
      </c>
      <c r="BV18" t="s">
        <v>133</v>
      </c>
      <c r="BW18" t="s">
        <v>279</v>
      </c>
      <c r="BX18" t="s">
        <v>117</v>
      </c>
      <c r="BY18">
        <v>5</v>
      </c>
      <c r="BZ18">
        <v>130</v>
      </c>
      <c r="CA18">
        <v>135</v>
      </c>
      <c r="CB18" t="s">
        <v>113</v>
      </c>
      <c r="CC18" s="6">
        <v>830.37</v>
      </c>
      <c r="CD18" s="6">
        <v>2616.2600000000002</v>
      </c>
      <c r="CE18" s="6">
        <f t="shared" si="9"/>
        <v>83.037000000000006</v>
      </c>
      <c r="CF18" s="6">
        <f t="shared" si="10"/>
        <v>24.911099999999998</v>
      </c>
      <c r="CG18" s="6">
        <f t="shared" si="11"/>
        <v>938.31810000000007</v>
      </c>
      <c r="CH18" s="6">
        <v>501</v>
      </c>
      <c r="CI18" s="6">
        <v>0</v>
      </c>
      <c r="CJ18" s="6">
        <v>0</v>
      </c>
      <c r="CK18" s="6">
        <f>CG18*1.2</f>
        <v>1125.98172</v>
      </c>
      <c r="CL18" s="6">
        <f t="shared" si="12"/>
        <v>187.66361999999992</v>
      </c>
      <c r="CM18" s="6">
        <f t="shared" si="13"/>
        <v>1125.98172</v>
      </c>
      <c r="CN18" t="s">
        <v>118</v>
      </c>
      <c r="CO18" t="s">
        <v>282</v>
      </c>
      <c r="CP18">
        <f t="shared" ca="1" si="14"/>
        <v>0.10147490767344447</v>
      </c>
      <c r="CQ18">
        <v>1</v>
      </c>
      <c r="CR18" s="10" t="str">
        <f t="shared" si="15"/>
        <v>20.12.2025 22:00</v>
      </c>
    </row>
    <row r="19" spans="1:96" x14ac:dyDescent="0.35">
      <c r="A19">
        <v>1222603022</v>
      </c>
      <c r="B19" t="s">
        <v>292</v>
      </c>
      <c r="C19" t="s">
        <v>349</v>
      </c>
      <c r="D19" t="s">
        <v>93</v>
      </c>
      <c r="E19">
        <v>4000</v>
      </c>
      <c r="F19" t="s">
        <v>94</v>
      </c>
      <c r="G19" t="s">
        <v>95</v>
      </c>
      <c r="H19" t="s">
        <v>96</v>
      </c>
      <c r="I19" t="s">
        <v>350</v>
      </c>
      <c r="J19" t="s">
        <v>176</v>
      </c>
      <c r="K19" s="6">
        <f t="shared" si="0"/>
        <v>1841.2624992000001</v>
      </c>
      <c r="L19" t="s">
        <v>99</v>
      </c>
      <c r="M19" t="s">
        <v>100</v>
      </c>
      <c r="N19" t="s">
        <v>351</v>
      </c>
      <c r="O19" t="s">
        <v>96</v>
      </c>
      <c r="P19" t="s">
        <v>96</v>
      </c>
      <c r="Q19" t="s">
        <v>352</v>
      </c>
      <c r="R19" t="s">
        <v>279</v>
      </c>
      <c r="S19" t="s">
        <v>104</v>
      </c>
      <c r="T19">
        <v>0</v>
      </c>
      <c r="U19">
        <v>30</v>
      </c>
      <c r="V19">
        <v>30</v>
      </c>
      <c r="W19" t="s">
        <v>105</v>
      </c>
      <c r="X19" t="s">
        <v>106</v>
      </c>
      <c r="Y19" t="s">
        <v>107</v>
      </c>
      <c r="Z19" t="s">
        <v>108</v>
      </c>
      <c r="AA19">
        <v>438</v>
      </c>
      <c r="AB19">
        <v>453</v>
      </c>
      <c r="AC19" t="s">
        <v>109</v>
      </c>
      <c r="AD19" t="s">
        <v>193</v>
      </c>
      <c r="AE19" s="3">
        <v>610910000000</v>
      </c>
      <c r="AF19" t="s">
        <v>141</v>
      </c>
      <c r="AG19" t="s">
        <v>279</v>
      </c>
      <c r="AH19" t="s">
        <v>142</v>
      </c>
      <c r="AI19">
        <v>8</v>
      </c>
      <c r="AJ19">
        <v>146</v>
      </c>
      <c r="AK19">
        <v>151</v>
      </c>
      <c r="AL19" t="s">
        <v>113</v>
      </c>
      <c r="AM19" s="6">
        <v>304.85000000000002</v>
      </c>
      <c r="AN19" s="6">
        <v>1224.04</v>
      </c>
      <c r="AO19" s="6">
        <f t="shared" si="1"/>
        <v>30.485000000000003</v>
      </c>
      <c r="AP19" s="6">
        <f t="shared" si="2"/>
        <v>9.1455000000000002</v>
      </c>
      <c r="AQ19" s="6">
        <f t="shared" si="3"/>
        <v>344.48050000000006</v>
      </c>
      <c r="AR19">
        <v>101</v>
      </c>
      <c r="AS19" s="6">
        <f>AQ19*1.12</f>
        <v>385.81816000000009</v>
      </c>
      <c r="AT19" s="6">
        <v>0</v>
      </c>
      <c r="AU19" s="6">
        <f>AS19*1.2</f>
        <v>462.9817920000001</v>
      </c>
      <c r="AV19" s="6">
        <f t="shared" si="16"/>
        <v>118.50129200000003</v>
      </c>
      <c r="AW19" s="6">
        <f t="shared" si="17"/>
        <v>462.9817920000001</v>
      </c>
      <c r="AX19" t="s">
        <v>118</v>
      </c>
      <c r="AY19" t="s">
        <v>353</v>
      </c>
      <c r="AZ19" s="3">
        <v>620342000000</v>
      </c>
      <c r="BA19" t="s">
        <v>144</v>
      </c>
      <c r="BB19" t="s">
        <v>279</v>
      </c>
      <c r="BC19" t="s">
        <v>142</v>
      </c>
      <c r="BD19">
        <v>15</v>
      </c>
      <c r="BE19">
        <v>146</v>
      </c>
      <c r="BF19">
        <v>151</v>
      </c>
      <c r="BG19" t="s">
        <v>113</v>
      </c>
      <c r="BH19" s="6">
        <v>592.65</v>
      </c>
      <c r="BI19" s="6">
        <v>1224.04</v>
      </c>
      <c r="BJ19" s="6">
        <f t="shared" si="4"/>
        <v>59.265000000000001</v>
      </c>
      <c r="BK19" s="6">
        <f t="shared" si="5"/>
        <v>17.779499999999999</v>
      </c>
      <c r="BL19" s="6">
        <f t="shared" si="6"/>
        <v>669.69449999999995</v>
      </c>
      <c r="BM19" s="6">
        <v>101</v>
      </c>
      <c r="BN19" s="6">
        <f>BL19*1.12</f>
        <v>750.05784000000006</v>
      </c>
      <c r="BO19" s="6">
        <v>0</v>
      </c>
      <c r="BP19" s="6">
        <f>BN19*1.2</f>
        <v>900.06940800000007</v>
      </c>
      <c r="BQ19" s="6">
        <f t="shared" si="7"/>
        <v>230.37490800000012</v>
      </c>
      <c r="BR19" s="6">
        <f t="shared" si="8"/>
        <v>900.06940800000007</v>
      </c>
      <c r="BS19" t="s">
        <v>118</v>
      </c>
      <c r="BT19" t="s">
        <v>354</v>
      </c>
      <c r="BU19" s="3">
        <v>520512000000</v>
      </c>
      <c r="BV19" t="s">
        <v>146</v>
      </c>
      <c r="BW19" t="s">
        <v>279</v>
      </c>
      <c r="BX19" t="s">
        <v>142</v>
      </c>
      <c r="BY19">
        <v>15</v>
      </c>
      <c r="BZ19">
        <v>146</v>
      </c>
      <c r="CA19">
        <v>151</v>
      </c>
      <c r="CB19" t="s">
        <v>113</v>
      </c>
      <c r="CC19" s="6">
        <v>326.54000000000002</v>
      </c>
      <c r="CD19" s="6">
        <v>1224.04</v>
      </c>
      <c r="CE19" s="6">
        <f t="shared" si="9"/>
        <v>32.654000000000003</v>
      </c>
      <c r="CF19" s="6">
        <f t="shared" si="10"/>
        <v>9.7962000000000007</v>
      </c>
      <c r="CG19" s="6">
        <f t="shared" si="11"/>
        <v>368.99020000000002</v>
      </c>
      <c r="CH19" s="6">
        <v>101</v>
      </c>
      <c r="CI19" s="6">
        <f>CG19*1.08</f>
        <v>398.50941600000004</v>
      </c>
      <c r="CJ19" s="6">
        <v>0</v>
      </c>
      <c r="CK19" s="6">
        <f>CI19*1.2</f>
        <v>478.21129920000004</v>
      </c>
      <c r="CL19" s="6">
        <f t="shared" si="12"/>
        <v>109.22109920000003</v>
      </c>
      <c r="CM19" s="6">
        <f t="shared" si="13"/>
        <v>478.21129920000004</v>
      </c>
      <c r="CN19" t="s">
        <v>118</v>
      </c>
      <c r="CO19" t="s">
        <v>355</v>
      </c>
      <c r="CP19">
        <f t="shared" ca="1" si="14"/>
        <v>0.73646537482766083</v>
      </c>
      <c r="CQ19">
        <v>1</v>
      </c>
      <c r="CR19" s="10" t="str">
        <f t="shared" si="15"/>
        <v>20.12.2025 22:00</v>
      </c>
    </row>
    <row r="20" spans="1:96" x14ac:dyDescent="0.35">
      <c r="A20">
        <v>1222603023</v>
      </c>
      <c r="B20" t="s">
        <v>302</v>
      </c>
      <c r="C20" t="s">
        <v>436</v>
      </c>
      <c r="D20" t="s">
        <v>93</v>
      </c>
      <c r="E20">
        <v>4000</v>
      </c>
      <c r="F20" t="s">
        <v>94</v>
      </c>
      <c r="G20" t="s">
        <v>95</v>
      </c>
      <c r="H20" t="s">
        <v>96</v>
      </c>
      <c r="I20" t="s">
        <v>258</v>
      </c>
      <c r="J20" t="s">
        <v>176</v>
      </c>
      <c r="K20" s="6">
        <f t="shared" si="0"/>
        <v>2304.1124880000002</v>
      </c>
      <c r="L20" t="s">
        <v>99</v>
      </c>
      <c r="M20" t="s">
        <v>100</v>
      </c>
      <c r="N20" t="s">
        <v>259</v>
      </c>
      <c r="O20" t="s">
        <v>96</v>
      </c>
      <c r="P20" t="s">
        <v>96</v>
      </c>
      <c r="Q20" t="s">
        <v>437</v>
      </c>
      <c r="R20" t="s">
        <v>261</v>
      </c>
      <c r="S20" t="s">
        <v>104</v>
      </c>
      <c r="T20">
        <v>0</v>
      </c>
      <c r="U20">
        <v>30</v>
      </c>
      <c r="V20">
        <v>30</v>
      </c>
      <c r="W20" t="s">
        <v>105</v>
      </c>
      <c r="X20" t="s">
        <v>106</v>
      </c>
      <c r="Y20" t="s">
        <v>107</v>
      </c>
      <c r="Z20" t="s">
        <v>108</v>
      </c>
      <c r="AA20">
        <v>522</v>
      </c>
      <c r="AB20">
        <v>537</v>
      </c>
      <c r="AC20" t="s">
        <v>109</v>
      </c>
      <c r="AD20" t="s">
        <v>207</v>
      </c>
      <c r="AE20" s="3">
        <v>610910000000</v>
      </c>
      <c r="AF20" t="s">
        <v>141</v>
      </c>
      <c r="AG20" t="s">
        <v>261</v>
      </c>
      <c r="AH20" t="s">
        <v>142</v>
      </c>
      <c r="AI20">
        <v>13</v>
      </c>
      <c r="AJ20">
        <v>174</v>
      </c>
      <c r="AK20">
        <v>179</v>
      </c>
      <c r="AL20" t="s">
        <v>113</v>
      </c>
      <c r="AM20" s="6">
        <v>472.83</v>
      </c>
      <c r="AN20" s="6">
        <f>AM20*1.08</f>
        <v>510.65640000000002</v>
      </c>
      <c r="AO20" s="6">
        <f t="shared" si="1"/>
        <v>47.283000000000001</v>
      </c>
      <c r="AP20" s="6">
        <f t="shared" si="2"/>
        <v>14.184899999999999</v>
      </c>
      <c r="AQ20" s="6">
        <f t="shared" si="3"/>
        <v>534.29789999999991</v>
      </c>
      <c r="AR20">
        <v>101</v>
      </c>
      <c r="AS20" s="6">
        <f>AQ20*1.12</f>
        <v>598.41364799999997</v>
      </c>
      <c r="AT20" s="6">
        <v>0</v>
      </c>
      <c r="AU20" s="6">
        <f>AS20*1.2</f>
        <v>718.09637759999998</v>
      </c>
      <c r="AV20" s="6">
        <f t="shared" si="16"/>
        <v>183.79847760000007</v>
      </c>
      <c r="AW20" s="6">
        <f t="shared" si="17"/>
        <v>718.09637759999998</v>
      </c>
      <c r="AX20" t="s">
        <v>118</v>
      </c>
      <c r="AY20" t="s">
        <v>438</v>
      </c>
      <c r="AZ20" s="3">
        <v>620342000000</v>
      </c>
      <c r="BA20" t="s">
        <v>144</v>
      </c>
      <c r="BB20" t="s">
        <v>261</v>
      </c>
      <c r="BC20" t="s">
        <v>142</v>
      </c>
      <c r="BD20">
        <v>18</v>
      </c>
      <c r="BE20">
        <v>174</v>
      </c>
      <c r="BF20">
        <v>179</v>
      </c>
      <c r="BG20" t="s">
        <v>113</v>
      </c>
      <c r="BH20" s="6">
        <v>585.07000000000005</v>
      </c>
      <c r="BI20" s="6">
        <f>BH20*1.08</f>
        <v>631.87560000000008</v>
      </c>
      <c r="BJ20" s="6">
        <f t="shared" si="4"/>
        <v>58.507000000000005</v>
      </c>
      <c r="BK20" s="6">
        <f t="shared" si="5"/>
        <v>17.552099999999999</v>
      </c>
      <c r="BL20" s="6">
        <f t="shared" si="6"/>
        <v>661.12909999999999</v>
      </c>
      <c r="BM20" s="6">
        <v>101</v>
      </c>
      <c r="BN20" s="6">
        <f>BL20*1.12</f>
        <v>740.46459200000004</v>
      </c>
      <c r="BO20" s="6">
        <v>0</v>
      </c>
      <c r="BP20" s="6">
        <f>BN20*1.2</f>
        <v>888.55751040000007</v>
      </c>
      <c r="BQ20" s="6">
        <f t="shared" si="7"/>
        <v>227.42841040000008</v>
      </c>
      <c r="BR20" s="6">
        <f t="shared" si="8"/>
        <v>888.55751040000007</v>
      </c>
      <c r="BS20" t="s">
        <v>118</v>
      </c>
      <c r="BT20" t="s">
        <v>439</v>
      </c>
      <c r="BU20" s="3">
        <v>520512000000</v>
      </c>
      <c r="BV20" t="s">
        <v>146</v>
      </c>
      <c r="BW20" t="s">
        <v>261</v>
      </c>
      <c r="BX20" t="s">
        <v>142</v>
      </c>
      <c r="BY20">
        <v>14</v>
      </c>
      <c r="BZ20">
        <v>174</v>
      </c>
      <c r="CA20">
        <v>179</v>
      </c>
      <c r="CB20" t="s">
        <v>113</v>
      </c>
      <c r="CC20" s="6">
        <v>476.25</v>
      </c>
      <c r="CD20" s="6">
        <f>CC20*1.08</f>
        <v>514.35</v>
      </c>
      <c r="CE20" s="6">
        <f t="shared" si="9"/>
        <v>47.625</v>
      </c>
      <c r="CF20" s="6">
        <f t="shared" si="10"/>
        <v>14.2875</v>
      </c>
      <c r="CG20" s="6">
        <f t="shared" si="11"/>
        <v>538.16250000000002</v>
      </c>
      <c r="CH20" s="6">
        <v>101</v>
      </c>
      <c r="CI20" s="6">
        <f>CG20*1.08</f>
        <v>581.21550000000002</v>
      </c>
      <c r="CJ20" s="6">
        <v>0</v>
      </c>
      <c r="CK20" s="6">
        <f>CI20*1.2</f>
        <v>697.45860000000005</v>
      </c>
      <c r="CL20" s="6">
        <f t="shared" si="12"/>
        <v>159.29610000000002</v>
      </c>
      <c r="CM20" s="6">
        <f t="shared" si="13"/>
        <v>697.45860000000005</v>
      </c>
      <c r="CN20" t="s">
        <v>118</v>
      </c>
      <c r="CO20" t="s">
        <v>440</v>
      </c>
      <c r="CP20">
        <f t="shared" ca="1" si="14"/>
        <v>0.17230035921926912</v>
      </c>
      <c r="CQ20">
        <v>1</v>
      </c>
      <c r="CR20" s="10" t="str">
        <f t="shared" si="15"/>
        <v>20.12.2025 22:00</v>
      </c>
    </row>
    <row r="21" spans="1:96" x14ac:dyDescent="0.35">
      <c r="A21">
        <v>1222603024</v>
      </c>
      <c r="B21" t="s">
        <v>311</v>
      </c>
      <c r="C21" t="s">
        <v>149</v>
      </c>
      <c r="D21" t="s">
        <v>93</v>
      </c>
      <c r="E21">
        <v>4000</v>
      </c>
      <c r="F21" t="s">
        <v>94</v>
      </c>
      <c r="G21" t="s">
        <v>95</v>
      </c>
      <c r="H21" t="s">
        <v>96</v>
      </c>
      <c r="I21" t="s">
        <v>150</v>
      </c>
      <c r="J21" t="s">
        <v>98</v>
      </c>
      <c r="K21" s="6">
        <f t="shared" si="0"/>
        <v>6151.8601200000003</v>
      </c>
      <c r="L21" t="s">
        <v>99</v>
      </c>
      <c r="M21" t="s">
        <v>100</v>
      </c>
      <c r="N21" t="s">
        <v>151</v>
      </c>
      <c r="O21" t="s">
        <v>96</v>
      </c>
      <c r="P21" t="s">
        <v>96</v>
      </c>
      <c r="Q21" t="s">
        <v>152</v>
      </c>
      <c r="R21" t="s">
        <v>153</v>
      </c>
      <c r="S21" t="s">
        <v>104</v>
      </c>
      <c r="T21">
        <v>0</v>
      </c>
      <c r="U21">
        <v>30</v>
      </c>
      <c r="V21">
        <v>30</v>
      </c>
      <c r="W21" t="s">
        <v>105</v>
      </c>
      <c r="X21" t="s">
        <v>106</v>
      </c>
      <c r="Y21" t="s">
        <v>107</v>
      </c>
      <c r="Z21" t="s">
        <v>108</v>
      </c>
      <c r="AA21">
        <v>318</v>
      </c>
      <c r="AB21">
        <v>333</v>
      </c>
      <c r="AC21" t="s">
        <v>109</v>
      </c>
      <c r="AD21" t="s">
        <v>128</v>
      </c>
      <c r="AE21" s="3">
        <v>847130000000</v>
      </c>
      <c r="AF21" t="s">
        <v>154</v>
      </c>
      <c r="AG21" t="s">
        <v>153</v>
      </c>
      <c r="AH21" t="s">
        <v>112</v>
      </c>
      <c r="AI21">
        <v>5</v>
      </c>
      <c r="AJ21">
        <v>106</v>
      </c>
      <c r="AK21">
        <v>111</v>
      </c>
      <c r="AL21" t="s">
        <v>113</v>
      </c>
      <c r="AM21" s="6">
        <v>1103.32</v>
      </c>
      <c r="AN21" s="6">
        <f>AM21*1.08</f>
        <v>1191.5856000000001</v>
      </c>
      <c r="AO21" s="6">
        <f t="shared" si="1"/>
        <v>110.33199999999999</v>
      </c>
      <c r="AP21" s="6">
        <f t="shared" si="2"/>
        <v>33.099599999999995</v>
      </c>
      <c r="AQ21" s="6">
        <f t="shared" si="3"/>
        <v>1246.7516000000001</v>
      </c>
      <c r="AR21">
        <v>501</v>
      </c>
      <c r="AS21" s="6">
        <v>0</v>
      </c>
      <c r="AT21" s="6">
        <v>0</v>
      </c>
      <c r="AU21" s="6">
        <f>AQ21*1.2</f>
        <v>1496.1019200000001</v>
      </c>
      <c r="AV21" s="6">
        <f t="shared" si="16"/>
        <v>249.35032000000001</v>
      </c>
      <c r="AW21" s="6">
        <f t="shared" si="17"/>
        <v>1496.1019200000001</v>
      </c>
      <c r="AX21" t="s">
        <v>114</v>
      </c>
      <c r="AY21" t="s">
        <v>155</v>
      </c>
      <c r="AZ21" s="3">
        <v>851713000000</v>
      </c>
      <c r="BA21" t="s">
        <v>156</v>
      </c>
      <c r="BB21" t="s">
        <v>153</v>
      </c>
      <c r="BC21" t="s">
        <v>112</v>
      </c>
      <c r="BD21">
        <v>5</v>
      </c>
      <c r="BE21">
        <v>106</v>
      </c>
      <c r="BF21">
        <v>111</v>
      </c>
      <c r="BG21" t="s">
        <v>113</v>
      </c>
      <c r="BH21" s="6">
        <v>1609</v>
      </c>
      <c r="BI21" s="6">
        <f>BH21*1.08</f>
        <v>1737.72</v>
      </c>
      <c r="BJ21" s="6">
        <f t="shared" si="4"/>
        <v>160.9</v>
      </c>
      <c r="BK21" s="6">
        <f t="shared" si="5"/>
        <v>48.269999999999996</v>
      </c>
      <c r="BL21" s="6">
        <f t="shared" si="6"/>
        <v>1818.17</v>
      </c>
      <c r="BM21" s="6">
        <v>602</v>
      </c>
      <c r="BN21" s="6">
        <v>0</v>
      </c>
      <c r="BO21" s="6">
        <f>BL21*1.5</f>
        <v>2727.2550000000001</v>
      </c>
      <c r="BP21" s="6">
        <f>BO21*1.2</f>
        <v>3272.7060000000001</v>
      </c>
      <c r="BQ21" s="6">
        <f t="shared" si="7"/>
        <v>1454.5360000000001</v>
      </c>
      <c r="BR21" s="6">
        <f t="shared" si="8"/>
        <v>3272.7060000000001</v>
      </c>
      <c r="BS21" t="s">
        <v>114</v>
      </c>
      <c r="BT21" t="s">
        <v>157</v>
      </c>
      <c r="BU21" s="3">
        <v>701349100000</v>
      </c>
      <c r="BV21" t="s">
        <v>158</v>
      </c>
      <c r="BW21" t="s">
        <v>153</v>
      </c>
      <c r="BX21" t="s">
        <v>112</v>
      </c>
      <c r="BY21">
        <v>5</v>
      </c>
      <c r="BZ21">
        <v>106</v>
      </c>
      <c r="CA21">
        <v>111</v>
      </c>
      <c r="CB21" t="s">
        <v>113</v>
      </c>
      <c r="CC21" s="6">
        <v>1019.95</v>
      </c>
      <c r="CD21" s="6">
        <f>CC21*1.08</f>
        <v>1101.546</v>
      </c>
      <c r="CE21" s="6">
        <f t="shared" si="9"/>
        <v>101.995</v>
      </c>
      <c r="CF21" s="6">
        <f t="shared" si="10"/>
        <v>30.598500000000001</v>
      </c>
      <c r="CG21" s="6">
        <f t="shared" si="11"/>
        <v>1152.5435000000002</v>
      </c>
      <c r="CH21" s="6">
        <v>501</v>
      </c>
      <c r="CI21" s="6">
        <v>0</v>
      </c>
      <c r="CJ21" s="6">
        <v>0</v>
      </c>
      <c r="CK21" s="6">
        <f>CG21*1.2</f>
        <v>1383.0522000000003</v>
      </c>
      <c r="CL21" s="6">
        <f t="shared" si="12"/>
        <v>230.50870000000009</v>
      </c>
      <c r="CM21" s="6">
        <f t="shared" si="13"/>
        <v>1383.0522000000003</v>
      </c>
      <c r="CN21" t="s">
        <v>114</v>
      </c>
      <c r="CO21" t="s">
        <v>159</v>
      </c>
      <c r="CP21">
        <f t="shared" ca="1" si="14"/>
        <v>0.13712485257088747</v>
      </c>
      <c r="CQ21">
        <v>1</v>
      </c>
      <c r="CR21" s="10" t="str">
        <f t="shared" si="15"/>
        <v>20.12.2025 22:00</v>
      </c>
    </row>
    <row r="22" spans="1:96" x14ac:dyDescent="0.35">
      <c r="A22">
        <v>1222603025</v>
      </c>
      <c r="B22" t="s">
        <v>320</v>
      </c>
      <c r="C22" t="s">
        <v>189</v>
      </c>
      <c r="D22" t="s">
        <v>93</v>
      </c>
      <c r="E22">
        <v>4000</v>
      </c>
      <c r="F22" t="s">
        <v>94</v>
      </c>
      <c r="G22" t="s">
        <v>95</v>
      </c>
      <c r="H22" t="s">
        <v>96</v>
      </c>
      <c r="I22" t="s">
        <v>190</v>
      </c>
      <c r="J22" t="s">
        <v>98</v>
      </c>
      <c r="K22" s="6">
        <f t="shared" si="0"/>
        <v>34836.939048</v>
      </c>
      <c r="L22" t="s">
        <v>99</v>
      </c>
      <c r="M22" t="s">
        <v>100</v>
      </c>
      <c r="N22" t="s">
        <v>191</v>
      </c>
      <c r="O22" t="s">
        <v>96</v>
      </c>
      <c r="P22" t="s">
        <v>96</v>
      </c>
      <c r="Q22" t="s">
        <v>192</v>
      </c>
      <c r="R22" t="s">
        <v>127</v>
      </c>
      <c r="S22" t="s">
        <v>104</v>
      </c>
      <c r="T22">
        <v>0</v>
      </c>
      <c r="U22">
        <v>30</v>
      </c>
      <c r="V22">
        <v>30</v>
      </c>
      <c r="W22" t="s">
        <v>105</v>
      </c>
      <c r="X22" t="s">
        <v>106</v>
      </c>
      <c r="Y22" t="s">
        <v>107</v>
      </c>
      <c r="Z22" t="s">
        <v>108</v>
      </c>
      <c r="AA22">
        <v>336</v>
      </c>
      <c r="AB22">
        <v>351</v>
      </c>
      <c r="AC22" t="s">
        <v>109</v>
      </c>
      <c r="AD22" t="s">
        <v>193</v>
      </c>
      <c r="AE22" s="3">
        <v>870323190000</v>
      </c>
      <c r="AF22" t="s">
        <v>194</v>
      </c>
      <c r="AG22" t="s">
        <v>127</v>
      </c>
      <c r="AH22" t="s">
        <v>195</v>
      </c>
      <c r="AI22">
        <v>16</v>
      </c>
      <c r="AJ22">
        <v>112</v>
      </c>
      <c r="AK22">
        <v>117</v>
      </c>
      <c r="AL22" t="s">
        <v>113</v>
      </c>
      <c r="AM22" s="6">
        <v>7233.56</v>
      </c>
      <c r="AN22" s="6">
        <f>AM22*1.08</f>
        <v>7812.2448000000013</v>
      </c>
      <c r="AO22" s="6">
        <f t="shared" si="1"/>
        <v>723.35600000000011</v>
      </c>
      <c r="AP22" s="6">
        <f t="shared" si="2"/>
        <v>217.0068</v>
      </c>
      <c r="AQ22" s="6">
        <f t="shared" si="3"/>
        <v>8173.9228000000003</v>
      </c>
      <c r="AR22">
        <v>602</v>
      </c>
      <c r="AS22" s="6">
        <v>0</v>
      </c>
      <c r="AT22" s="6">
        <f>AQ22*1.8</f>
        <v>14713.061040000001</v>
      </c>
      <c r="AU22" s="6">
        <f>AT22*1.2</f>
        <v>17655.673247999999</v>
      </c>
      <c r="AV22" s="6">
        <f t="shared" si="16"/>
        <v>9481.7504479999989</v>
      </c>
      <c r="AW22" s="6">
        <f t="shared" si="17"/>
        <v>17655.673247999999</v>
      </c>
      <c r="AX22" t="s">
        <v>114</v>
      </c>
      <c r="AY22" t="s">
        <v>196</v>
      </c>
      <c r="AZ22" s="3">
        <v>842720000000</v>
      </c>
      <c r="BA22" t="s">
        <v>197</v>
      </c>
      <c r="BB22" t="s">
        <v>127</v>
      </c>
      <c r="BC22" t="s">
        <v>195</v>
      </c>
      <c r="BD22">
        <v>16</v>
      </c>
      <c r="BE22">
        <v>112</v>
      </c>
      <c r="BF22">
        <v>117</v>
      </c>
      <c r="BG22" t="s">
        <v>113</v>
      </c>
      <c r="BH22" s="6">
        <v>6729.91</v>
      </c>
      <c r="BI22" s="6">
        <f>BH22*1.08</f>
        <v>7268.3028000000004</v>
      </c>
      <c r="BJ22" s="6">
        <f t="shared" si="4"/>
        <v>672.99099999999999</v>
      </c>
      <c r="BK22" s="6">
        <f t="shared" si="5"/>
        <v>201.8973</v>
      </c>
      <c r="BL22" s="6">
        <f t="shared" si="6"/>
        <v>7604.7982999999995</v>
      </c>
      <c r="BM22" s="6">
        <v>501</v>
      </c>
      <c r="BN22" s="6">
        <v>0</v>
      </c>
      <c r="BO22" s="6">
        <v>0</v>
      </c>
      <c r="BP22" s="6">
        <f>BL22*1.2</f>
        <v>9125.757959999999</v>
      </c>
      <c r="BQ22" s="6">
        <f t="shared" si="7"/>
        <v>1520.9596599999995</v>
      </c>
      <c r="BR22" s="6">
        <f t="shared" si="8"/>
        <v>9125.757959999999</v>
      </c>
      <c r="BS22" t="s">
        <v>114</v>
      </c>
      <c r="BT22" t="s">
        <v>198</v>
      </c>
      <c r="BU22" s="3">
        <v>640399930000</v>
      </c>
      <c r="BV22" t="s">
        <v>199</v>
      </c>
      <c r="BW22" t="s">
        <v>127</v>
      </c>
      <c r="BX22" t="s">
        <v>112</v>
      </c>
      <c r="BY22">
        <v>20</v>
      </c>
      <c r="BZ22">
        <v>112</v>
      </c>
      <c r="CA22">
        <v>117</v>
      </c>
      <c r="CB22" t="s">
        <v>113</v>
      </c>
      <c r="CC22" s="6">
        <v>5940.64</v>
      </c>
      <c r="CD22" s="6">
        <f>CC22*1.08</f>
        <v>6415.8912000000009</v>
      </c>
      <c r="CE22" s="6">
        <f t="shared" si="9"/>
        <v>594.06400000000008</v>
      </c>
      <c r="CF22" s="6">
        <f t="shared" si="10"/>
        <v>178.2192</v>
      </c>
      <c r="CG22" s="6">
        <f t="shared" si="11"/>
        <v>6712.9232000000011</v>
      </c>
      <c r="CH22" s="6">
        <v>501</v>
      </c>
      <c r="CI22" s="6">
        <v>0</v>
      </c>
      <c r="CJ22" s="6">
        <v>0</v>
      </c>
      <c r="CK22" s="6">
        <f>CG22*1.2</f>
        <v>8055.5078400000011</v>
      </c>
      <c r="CL22" s="6">
        <f t="shared" si="12"/>
        <v>1342.58464</v>
      </c>
      <c r="CM22" s="6">
        <f t="shared" si="13"/>
        <v>8055.5078400000011</v>
      </c>
      <c r="CN22" t="s">
        <v>114</v>
      </c>
      <c r="CO22" t="s">
        <v>200</v>
      </c>
      <c r="CP22">
        <f t="shared" ca="1" si="14"/>
        <v>0.88170803563347944</v>
      </c>
      <c r="CQ22">
        <v>1</v>
      </c>
      <c r="CR22" s="10" t="str">
        <f t="shared" si="15"/>
        <v>20.12.2025 22:00</v>
      </c>
    </row>
    <row r="23" spans="1:96" x14ac:dyDescent="0.35">
      <c r="A23">
        <v>1222603028</v>
      </c>
      <c r="B23" t="s">
        <v>329</v>
      </c>
      <c r="C23" t="s">
        <v>202</v>
      </c>
      <c r="D23" t="s">
        <v>93</v>
      </c>
      <c r="E23">
        <v>4000</v>
      </c>
      <c r="F23" t="s">
        <v>94</v>
      </c>
      <c r="G23" t="s">
        <v>95</v>
      </c>
      <c r="H23" t="s">
        <v>96</v>
      </c>
      <c r="I23" t="s">
        <v>203</v>
      </c>
      <c r="J23" t="s">
        <v>98</v>
      </c>
      <c r="K23" s="6">
        <f t="shared" si="0"/>
        <v>2593.6722760000002</v>
      </c>
      <c r="L23" t="s">
        <v>99</v>
      </c>
      <c r="M23" t="s">
        <v>100</v>
      </c>
      <c r="N23" t="s">
        <v>204</v>
      </c>
      <c r="O23" t="s">
        <v>96</v>
      </c>
      <c r="P23" t="s">
        <v>96</v>
      </c>
      <c r="Q23" t="s">
        <v>205</v>
      </c>
      <c r="R23" t="s">
        <v>206</v>
      </c>
      <c r="S23" t="s">
        <v>104</v>
      </c>
      <c r="T23">
        <v>0</v>
      </c>
      <c r="U23">
        <v>30</v>
      </c>
      <c r="V23">
        <v>30</v>
      </c>
      <c r="W23" t="s">
        <v>105</v>
      </c>
      <c r="X23" t="s">
        <v>106</v>
      </c>
      <c r="Y23" t="s">
        <v>107</v>
      </c>
      <c r="Z23" t="s">
        <v>108</v>
      </c>
      <c r="AA23">
        <v>342</v>
      </c>
      <c r="AB23">
        <v>357</v>
      </c>
      <c r="AC23" t="s">
        <v>109</v>
      </c>
      <c r="AD23" t="s">
        <v>207</v>
      </c>
      <c r="AE23" s="3">
        <v>190531990000</v>
      </c>
      <c r="AF23" t="s">
        <v>111</v>
      </c>
      <c r="AG23" t="s">
        <v>206</v>
      </c>
      <c r="AH23" t="s">
        <v>112</v>
      </c>
      <c r="AI23">
        <v>19</v>
      </c>
      <c r="AJ23">
        <v>114</v>
      </c>
      <c r="AK23">
        <v>119</v>
      </c>
      <c r="AL23" t="s">
        <v>113</v>
      </c>
      <c r="AM23" s="6">
        <v>789.08</v>
      </c>
      <c r="AN23" s="6">
        <f>AM23*1.08</f>
        <v>852.20640000000014</v>
      </c>
      <c r="AO23" s="6">
        <f t="shared" si="1"/>
        <v>78.908000000000015</v>
      </c>
      <c r="AP23" s="6">
        <f t="shared" si="2"/>
        <v>23.6724</v>
      </c>
      <c r="AQ23" s="6">
        <f t="shared" si="3"/>
        <v>891.6604000000001</v>
      </c>
      <c r="AR23">
        <v>501</v>
      </c>
      <c r="AS23" s="6">
        <v>0</v>
      </c>
      <c r="AT23" s="6">
        <v>0</v>
      </c>
      <c r="AU23" s="6">
        <f>AQ23*1.2</f>
        <v>1069.9924800000001</v>
      </c>
      <c r="AV23" s="6">
        <f t="shared" si="16"/>
        <v>178.33208000000002</v>
      </c>
      <c r="AW23" s="6">
        <f t="shared" si="17"/>
        <v>1069.9924800000001</v>
      </c>
      <c r="AX23" t="s">
        <v>114</v>
      </c>
      <c r="AY23" t="s">
        <v>208</v>
      </c>
      <c r="AZ23" s="3">
        <v>804100000000</v>
      </c>
      <c r="BA23" t="s">
        <v>116</v>
      </c>
      <c r="BB23" t="s">
        <v>206</v>
      </c>
      <c r="BC23" t="s">
        <v>117</v>
      </c>
      <c r="BD23">
        <v>18</v>
      </c>
      <c r="BE23">
        <v>114</v>
      </c>
      <c r="BF23">
        <v>119</v>
      </c>
      <c r="BG23" t="s">
        <v>113</v>
      </c>
      <c r="BH23" s="6">
        <v>568.73</v>
      </c>
      <c r="BI23" s="6">
        <f>BH23*1.08</f>
        <v>614.22840000000008</v>
      </c>
      <c r="BJ23" s="6">
        <f t="shared" si="4"/>
        <v>56.873000000000005</v>
      </c>
      <c r="BK23" s="6">
        <f t="shared" si="5"/>
        <v>17.061900000000001</v>
      </c>
      <c r="BL23" s="6">
        <f t="shared" si="6"/>
        <v>642.6649000000001</v>
      </c>
      <c r="BM23" s="6">
        <v>501</v>
      </c>
      <c r="BN23" s="6">
        <v>0</v>
      </c>
      <c r="BO23" s="6">
        <v>0</v>
      </c>
      <c r="BP23" s="6">
        <f>BL23*1.2</f>
        <v>771.19788000000005</v>
      </c>
      <c r="BQ23" s="6">
        <f t="shared" si="7"/>
        <v>128.53297999999995</v>
      </c>
      <c r="BR23" s="6">
        <f t="shared" si="8"/>
        <v>771.19788000000005</v>
      </c>
      <c r="BS23" t="s">
        <v>118</v>
      </c>
      <c r="BT23" t="s">
        <v>209</v>
      </c>
      <c r="BU23" s="3">
        <v>100199000000</v>
      </c>
      <c r="BV23" t="s">
        <v>120</v>
      </c>
      <c r="BW23" t="s">
        <v>206</v>
      </c>
      <c r="BX23" t="s">
        <v>117</v>
      </c>
      <c r="BY23">
        <v>9</v>
      </c>
      <c r="BZ23">
        <v>114</v>
      </c>
      <c r="CA23">
        <v>119</v>
      </c>
      <c r="CB23" t="s">
        <v>113</v>
      </c>
      <c r="CC23" s="6">
        <v>659.32</v>
      </c>
      <c r="CD23" s="6">
        <f>CC23*1.08</f>
        <v>712.06560000000013</v>
      </c>
      <c r="CE23" s="6">
        <f t="shared" si="9"/>
        <v>65.932000000000002</v>
      </c>
      <c r="CF23" s="6">
        <f t="shared" si="10"/>
        <v>19.779600000000002</v>
      </c>
      <c r="CG23" s="6">
        <f t="shared" si="11"/>
        <v>745.03160000000003</v>
      </c>
      <c r="CH23" s="6">
        <v>501</v>
      </c>
      <c r="CI23" s="6">
        <v>0</v>
      </c>
      <c r="CJ23" s="6">
        <v>0</v>
      </c>
      <c r="CK23" s="6">
        <f>CG23*1.01</f>
        <v>752.48191600000007</v>
      </c>
      <c r="CL23" s="6">
        <f t="shared" si="12"/>
        <v>7.4503160000000435</v>
      </c>
      <c r="CM23" s="6">
        <f t="shared" si="13"/>
        <v>752.48191600000007</v>
      </c>
      <c r="CN23" t="s">
        <v>118</v>
      </c>
      <c r="CO23" t="s">
        <v>210</v>
      </c>
      <c r="CP23">
        <f t="shared" ca="1" si="14"/>
        <v>0.95992789462601524</v>
      </c>
      <c r="CQ23">
        <v>1</v>
      </c>
      <c r="CR23" s="10" t="str">
        <f t="shared" si="15"/>
        <v>20.12.2025 22:00</v>
      </c>
    </row>
    <row r="24" spans="1:96" x14ac:dyDescent="0.35">
      <c r="A24">
        <v>1222603029</v>
      </c>
      <c r="B24" t="s">
        <v>338</v>
      </c>
      <c r="C24" t="s">
        <v>321</v>
      </c>
      <c r="D24" t="s">
        <v>93</v>
      </c>
      <c r="E24">
        <v>4000</v>
      </c>
      <c r="F24" t="s">
        <v>94</v>
      </c>
      <c r="G24" t="s">
        <v>95</v>
      </c>
      <c r="H24" t="s">
        <v>96</v>
      </c>
      <c r="I24" t="s">
        <v>322</v>
      </c>
      <c r="J24" t="s">
        <v>176</v>
      </c>
      <c r="K24" s="6">
        <f t="shared" si="0"/>
        <v>40165.621875600002</v>
      </c>
      <c r="L24" t="s">
        <v>99</v>
      </c>
      <c r="M24" t="s">
        <v>100</v>
      </c>
      <c r="N24" t="s">
        <v>323</v>
      </c>
      <c r="O24" t="s">
        <v>96</v>
      </c>
      <c r="P24" t="s">
        <v>96</v>
      </c>
      <c r="Q24" t="s">
        <v>324</v>
      </c>
      <c r="R24" t="s">
        <v>96</v>
      </c>
      <c r="S24" t="s">
        <v>104</v>
      </c>
      <c r="T24">
        <v>0</v>
      </c>
      <c r="U24">
        <v>30</v>
      </c>
      <c r="V24">
        <v>30</v>
      </c>
      <c r="W24" t="s">
        <v>105</v>
      </c>
      <c r="X24" t="s">
        <v>106</v>
      </c>
      <c r="Y24" t="s">
        <v>107</v>
      </c>
      <c r="Z24" t="s">
        <v>108</v>
      </c>
      <c r="AA24">
        <v>420</v>
      </c>
      <c r="AB24">
        <v>435</v>
      </c>
      <c r="AC24" t="s">
        <v>109</v>
      </c>
      <c r="AD24" t="s">
        <v>207</v>
      </c>
      <c r="AE24" s="3">
        <v>870323190000</v>
      </c>
      <c r="AF24" t="s">
        <v>194</v>
      </c>
      <c r="AG24" t="s">
        <v>325</v>
      </c>
      <c r="AH24" t="s">
        <v>195</v>
      </c>
      <c r="AI24">
        <v>14</v>
      </c>
      <c r="AJ24">
        <v>140</v>
      </c>
      <c r="AK24">
        <v>145</v>
      </c>
      <c r="AL24" t="s">
        <v>113</v>
      </c>
      <c r="AM24" s="6">
        <v>7756.62</v>
      </c>
      <c r="AN24" s="6">
        <v>20961.73</v>
      </c>
      <c r="AO24" s="6">
        <f t="shared" si="1"/>
        <v>775.66200000000003</v>
      </c>
      <c r="AP24" s="6">
        <f t="shared" si="2"/>
        <v>232.6986</v>
      </c>
      <c r="AQ24" s="6">
        <f t="shared" si="3"/>
        <v>8764.980599999999</v>
      </c>
      <c r="AR24">
        <v>602</v>
      </c>
      <c r="AS24" s="6">
        <f>AQ24*1.1</f>
        <v>9641.4786599999989</v>
      </c>
      <c r="AT24" s="6">
        <f>AS24*1.8</f>
        <v>17354.661587999999</v>
      </c>
      <c r="AU24" s="6">
        <f>AT24*1.2</f>
        <v>20825.593905599999</v>
      </c>
      <c r="AV24" s="6">
        <f t="shared" si="16"/>
        <v>12060.6133056</v>
      </c>
      <c r="AW24" s="6">
        <f t="shared" si="17"/>
        <v>20825.593905599999</v>
      </c>
      <c r="AX24" t="s">
        <v>118</v>
      </c>
      <c r="AY24" t="s">
        <v>326</v>
      </c>
      <c r="AZ24" s="3">
        <v>842720000000</v>
      </c>
      <c r="BA24" t="s">
        <v>197</v>
      </c>
      <c r="BB24" t="s">
        <v>325</v>
      </c>
      <c r="BC24" t="s">
        <v>195</v>
      </c>
      <c r="BD24">
        <v>19</v>
      </c>
      <c r="BE24">
        <v>140</v>
      </c>
      <c r="BF24">
        <v>145</v>
      </c>
      <c r="BG24" t="s">
        <v>113</v>
      </c>
      <c r="BH24" s="6">
        <v>5261.27</v>
      </c>
      <c r="BI24" s="6">
        <v>20961.73</v>
      </c>
      <c r="BJ24" s="6">
        <f t="shared" si="4"/>
        <v>526.12700000000007</v>
      </c>
      <c r="BK24" s="6">
        <f t="shared" si="5"/>
        <v>157.8381</v>
      </c>
      <c r="BL24" s="6">
        <f t="shared" si="6"/>
        <v>5945.2351000000008</v>
      </c>
      <c r="BM24" s="6">
        <v>501</v>
      </c>
      <c r="BN24" s="6">
        <f>BL24*1.05</f>
        <v>6242.4968550000012</v>
      </c>
      <c r="BO24" s="6">
        <v>0</v>
      </c>
      <c r="BP24" s="6">
        <f>BN24*1.2</f>
        <v>7490.9962260000011</v>
      </c>
      <c r="BQ24" s="6">
        <f t="shared" si="7"/>
        <v>1545.7611260000003</v>
      </c>
      <c r="BR24" s="6">
        <f t="shared" si="8"/>
        <v>7490.9962260000011</v>
      </c>
      <c r="BS24" t="s">
        <v>118</v>
      </c>
      <c r="BT24" t="s">
        <v>327</v>
      </c>
      <c r="BU24" s="3">
        <v>640399930000</v>
      </c>
      <c r="BV24" t="s">
        <v>199</v>
      </c>
      <c r="BW24" t="s">
        <v>325</v>
      </c>
      <c r="BX24" t="s">
        <v>112</v>
      </c>
      <c r="BY24">
        <v>11</v>
      </c>
      <c r="BZ24">
        <v>140</v>
      </c>
      <c r="CA24">
        <v>145</v>
      </c>
      <c r="CB24" t="s">
        <v>113</v>
      </c>
      <c r="CC24" s="6">
        <v>7943.84</v>
      </c>
      <c r="CD24" s="6">
        <v>20961.73</v>
      </c>
      <c r="CE24" s="6">
        <f t="shared" si="9"/>
        <v>794.38400000000001</v>
      </c>
      <c r="CF24" s="6">
        <f t="shared" si="10"/>
        <v>238.3152</v>
      </c>
      <c r="CG24" s="6">
        <f t="shared" si="11"/>
        <v>8976.5391999999993</v>
      </c>
      <c r="CH24" s="6">
        <v>101</v>
      </c>
      <c r="CI24" s="6">
        <f>CG24*1.1</f>
        <v>9874.1931199999999</v>
      </c>
      <c r="CJ24" s="6">
        <v>0</v>
      </c>
      <c r="CK24" s="6">
        <f>CI24*1.2</f>
        <v>11849.031744</v>
      </c>
      <c r="CL24" s="6">
        <f t="shared" si="12"/>
        <v>2872.4925440000006</v>
      </c>
      <c r="CM24" s="6">
        <f t="shared" si="13"/>
        <v>11849.031744</v>
      </c>
      <c r="CN24" t="s">
        <v>118</v>
      </c>
      <c r="CO24" t="s">
        <v>328</v>
      </c>
      <c r="CP24">
        <f t="shared" ca="1" si="14"/>
        <v>0.35671346866215792</v>
      </c>
      <c r="CQ24">
        <v>1</v>
      </c>
      <c r="CR24" s="10" t="str">
        <f t="shared" si="15"/>
        <v>20.12.2025 22:00</v>
      </c>
    </row>
    <row r="25" spans="1:96" x14ac:dyDescent="0.35">
      <c r="A25">
        <v>1222603030</v>
      </c>
      <c r="B25" t="s">
        <v>348</v>
      </c>
      <c r="C25" t="s">
        <v>381</v>
      </c>
      <c r="D25" t="s">
        <v>93</v>
      </c>
      <c r="E25">
        <v>4000</v>
      </c>
      <c r="F25" t="s">
        <v>94</v>
      </c>
      <c r="G25" t="s">
        <v>95</v>
      </c>
      <c r="H25" t="s">
        <v>96</v>
      </c>
      <c r="I25" t="s">
        <v>162</v>
      </c>
      <c r="J25" t="s">
        <v>98</v>
      </c>
      <c r="K25" s="6">
        <f t="shared" si="0"/>
        <v>2334.2859740000004</v>
      </c>
      <c r="L25" t="s">
        <v>99</v>
      </c>
      <c r="M25" t="s">
        <v>100</v>
      </c>
      <c r="N25" t="s">
        <v>163</v>
      </c>
      <c r="O25" t="s">
        <v>96</v>
      </c>
      <c r="P25" t="s">
        <v>96</v>
      </c>
      <c r="Q25" t="s">
        <v>382</v>
      </c>
      <c r="R25" t="s">
        <v>165</v>
      </c>
      <c r="S25" t="s">
        <v>104</v>
      </c>
      <c r="T25">
        <v>0</v>
      </c>
      <c r="U25">
        <v>30</v>
      </c>
      <c r="V25">
        <v>30</v>
      </c>
      <c r="W25" t="s">
        <v>105</v>
      </c>
      <c r="X25" t="s">
        <v>106</v>
      </c>
      <c r="Y25" t="s">
        <v>107</v>
      </c>
      <c r="Z25" t="s">
        <v>108</v>
      </c>
      <c r="AA25">
        <v>468</v>
      </c>
      <c r="AB25">
        <v>483</v>
      </c>
      <c r="AC25" t="s">
        <v>109</v>
      </c>
      <c r="AD25" t="s">
        <v>110</v>
      </c>
      <c r="AE25" s="3">
        <v>190531990000</v>
      </c>
      <c r="AF25" t="s">
        <v>111</v>
      </c>
      <c r="AG25" t="s">
        <v>165</v>
      </c>
      <c r="AH25" t="s">
        <v>112</v>
      </c>
      <c r="AI25">
        <v>14</v>
      </c>
      <c r="AJ25">
        <v>156</v>
      </c>
      <c r="AK25">
        <v>161</v>
      </c>
      <c r="AL25" t="s">
        <v>113</v>
      </c>
      <c r="AM25" s="6">
        <v>658.59</v>
      </c>
      <c r="AN25" s="6">
        <f>AM25*1.08</f>
        <v>711.27720000000011</v>
      </c>
      <c r="AO25" s="6">
        <f t="shared" si="1"/>
        <v>65.859000000000009</v>
      </c>
      <c r="AP25" s="6">
        <f t="shared" si="2"/>
        <v>19.7577</v>
      </c>
      <c r="AQ25" s="6">
        <f t="shared" si="3"/>
        <v>744.20670000000007</v>
      </c>
      <c r="AR25">
        <v>501</v>
      </c>
      <c r="AS25" s="6">
        <v>0</v>
      </c>
      <c r="AT25" s="6">
        <v>0</v>
      </c>
      <c r="AU25" s="6">
        <f>AQ25*1.2</f>
        <v>893.04804000000001</v>
      </c>
      <c r="AV25" s="6">
        <f t="shared" si="16"/>
        <v>148.84133999999995</v>
      </c>
      <c r="AW25" s="6">
        <f t="shared" si="17"/>
        <v>893.04804000000001</v>
      </c>
      <c r="AX25" t="s">
        <v>114</v>
      </c>
      <c r="AY25" t="s">
        <v>383</v>
      </c>
      <c r="AZ25" s="3">
        <v>804100000000</v>
      </c>
      <c r="BA25" t="s">
        <v>116</v>
      </c>
      <c r="BB25" t="s">
        <v>165</v>
      </c>
      <c r="BC25" t="s">
        <v>117</v>
      </c>
      <c r="BD25">
        <v>13</v>
      </c>
      <c r="BE25">
        <v>156</v>
      </c>
      <c r="BF25">
        <v>161</v>
      </c>
      <c r="BG25" t="s">
        <v>113</v>
      </c>
      <c r="BH25" s="6">
        <v>560.57000000000005</v>
      </c>
      <c r="BI25" s="6">
        <f>BH25*1.08</f>
        <v>605.41560000000004</v>
      </c>
      <c r="BJ25" s="6">
        <f t="shared" si="4"/>
        <v>56.057000000000009</v>
      </c>
      <c r="BK25" s="6">
        <f t="shared" si="5"/>
        <v>16.8171</v>
      </c>
      <c r="BL25" s="6">
        <f t="shared" si="6"/>
        <v>633.44410000000005</v>
      </c>
      <c r="BM25" s="6">
        <v>501</v>
      </c>
      <c r="BN25" s="6">
        <v>0</v>
      </c>
      <c r="BO25" s="6">
        <v>0</v>
      </c>
      <c r="BP25" s="6">
        <f>BL25*1.2</f>
        <v>760.13292000000001</v>
      </c>
      <c r="BQ25" s="6">
        <f t="shared" si="7"/>
        <v>126.68881999999996</v>
      </c>
      <c r="BR25" s="6">
        <f t="shared" si="8"/>
        <v>760.13292000000001</v>
      </c>
      <c r="BS25" t="s">
        <v>118</v>
      </c>
      <c r="BT25" t="s">
        <v>384</v>
      </c>
      <c r="BU25" s="3">
        <v>100199000000</v>
      </c>
      <c r="BV25" t="s">
        <v>120</v>
      </c>
      <c r="BW25" t="s">
        <v>165</v>
      </c>
      <c r="BX25" t="s">
        <v>117</v>
      </c>
      <c r="BY25">
        <v>18</v>
      </c>
      <c r="BZ25">
        <v>156</v>
      </c>
      <c r="CA25">
        <v>161</v>
      </c>
      <c r="CB25" t="s">
        <v>113</v>
      </c>
      <c r="CC25" s="6">
        <v>596.78</v>
      </c>
      <c r="CD25" s="6">
        <f>CC25*1.08</f>
        <v>644.52240000000006</v>
      </c>
      <c r="CE25" s="6">
        <f t="shared" si="9"/>
        <v>59.677999999999997</v>
      </c>
      <c r="CF25" s="6">
        <f t="shared" si="10"/>
        <v>17.903399999999998</v>
      </c>
      <c r="CG25" s="6">
        <f t="shared" si="11"/>
        <v>674.3614</v>
      </c>
      <c r="CH25" s="6">
        <v>501</v>
      </c>
      <c r="CI25" s="6">
        <v>0</v>
      </c>
      <c r="CJ25" s="6">
        <v>0</v>
      </c>
      <c r="CK25" s="6">
        <f>CG25*1.01</f>
        <v>681.10501399999998</v>
      </c>
      <c r="CL25" s="6">
        <f t="shared" si="12"/>
        <v>6.7436139999999796</v>
      </c>
      <c r="CM25" s="6">
        <f t="shared" si="13"/>
        <v>681.10501399999998</v>
      </c>
      <c r="CN25" t="s">
        <v>118</v>
      </c>
      <c r="CO25" t="s">
        <v>385</v>
      </c>
      <c r="CP25">
        <f t="shared" ca="1" si="14"/>
        <v>0.96161402794923845</v>
      </c>
      <c r="CQ25">
        <v>1</v>
      </c>
      <c r="CR25" s="10" t="str">
        <f t="shared" si="15"/>
        <v>20.12.2025 22:00</v>
      </c>
    </row>
    <row r="26" spans="1:96" x14ac:dyDescent="0.35">
      <c r="A26">
        <v>1222603031</v>
      </c>
      <c r="B26" t="s">
        <v>356</v>
      </c>
      <c r="C26" t="s">
        <v>460</v>
      </c>
      <c r="D26" t="s">
        <v>93</v>
      </c>
      <c r="E26">
        <v>4000</v>
      </c>
      <c r="F26" t="s">
        <v>94</v>
      </c>
      <c r="G26" t="s">
        <v>95</v>
      </c>
      <c r="H26" t="s">
        <v>96</v>
      </c>
      <c r="I26" t="s">
        <v>294</v>
      </c>
      <c r="J26" t="s">
        <v>176</v>
      </c>
      <c r="K26" s="6">
        <f t="shared" si="0"/>
        <v>36037.188752400005</v>
      </c>
      <c r="L26" t="s">
        <v>99</v>
      </c>
      <c r="M26" t="s">
        <v>100</v>
      </c>
      <c r="N26" t="s">
        <v>295</v>
      </c>
      <c r="O26" t="s">
        <v>96</v>
      </c>
      <c r="P26" t="s">
        <v>96</v>
      </c>
      <c r="Q26" t="s">
        <v>461</v>
      </c>
      <c r="R26" t="s">
        <v>297</v>
      </c>
      <c r="S26" t="s">
        <v>104</v>
      </c>
      <c r="T26">
        <v>0</v>
      </c>
      <c r="U26">
        <v>30</v>
      </c>
      <c r="V26">
        <v>30</v>
      </c>
      <c r="W26" t="s">
        <v>105</v>
      </c>
      <c r="X26" t="s">
        <v>106</v>
      </c>
      <c r="Y26" t="s">
        <v>107</v>
      </c>
      <c r="Z26" t="s">
        <v>108</v>
      </c>
      <c r="AA26">
        <v>546</v>
      </c>
      <c r="AB26">
        <v>561</v>
      </c>
      <c r="AC26" t="s">
        <v>109</v>
      </c>
      <c r="AD26" t="s">
        <v>128</v>
      </c>
      <c r="AE26" s="3">
        <v>870323190000</v>
      </c>
      <c r="AF26" t="s">
        <v>194</v>
      </c>
      <c r="AG26" t="s">
        <v>297</v>
      </c>
      <c r="AH26" t="s">
        <v>195</v>
      </c>
      <c r="AI26">
        <v>6</v>
      </c>
      <c r="AJ26">
        <v>182</v>
      </c>
      <c r="AK26">
        <v>187</v>
      </c>
      <c r="AL26" t="s">
        <v>113</v>
      </c>
      <c r="AM26" s="6">
        <v>6839.68</v>
      </c>
      <c r="AN26" s="6">
        <v>19004.52</v>
      </c>
      <c r="AO26" s="6">
        <f t="shared" si="1"/>
        <v>683.96800000000007</v>
      </c>
      <c r="AP26" s="6">
        <f t="shared" si="2"/>
        <v>205.19040000000001</v>
      </c>
      <c r="AQ26" s="6">
        <f t="shared" si="3"/>
        <v>7728.8384000000005</v>
      </c>
      <c r="AR26">
        <v>602</v>
      </c>
      <c r="AS26" s="6">
        <f>AQ26*1.1</f>
        <v>8501.722240000001</v>
      </c>
      <c r="AT26" s="6">
        <f>AS26*1.8</f>
        <v>15303.100032000002</v>
      </c>
      <c r="AU26" s="6">
        <f>AT26*1.2</f>
        <v>18363.720038400003</v>
      </c>
      <c r="AV26" s="6">
        <f t="shared" si="16"/>
        <v>10634.881638400002</v>
      </c>
      <c r="AW26" s="6">
        <f t="shared" si="17"/>
        <v>18363.720038400003</v>
      </c>
      <c r="AX26" t="s">
        <v>118</v>
      </c>
      <c r="AY26" t="s">
        <v>462</v>
      </c>
      <c r="AZ26" s="3">
        <v>842720000000</v>
      </c>
      <c r="BA26" t="s">
        <v>197</v>
      </c>
      <c r="BB26" t="s">
        <v>297</v>
      </c>
      <c r="BC26" t="s">
        <v>195</v>
      </c>
      <c r="BD26">
        <v>20</v>
      </c>
      <c r="BE26">
        <v>182</v>
      </c>
      <c r="BF26">
        <v>187</v>
      </c>
      <c r="BG26" t="s">
        <v>113</v>
      </c>
      <c r="BH26" s="6">
        <v>6955.85</v>
      </c>
      <c r="BI26" s="6">
        <v>19004.52</v>
      </c>
      <c r="BJ26" s="6">
        <f t="shared" si="4"/>
        <v>695.58500000000004</v>
      </c>
      <c r="BK26" s="6">
        <f t="shared" si="5"/>
        <v>208.6755</v>
      </c>
      <c r="BL26" s="6">
        <f t="shared" si="6"/>
        <v>7860.1105000000007</v>
      </c>
      <c r="BM26" s="6">
        <v>501</v>
      </c>
      <c r="BN26" s="6">
        <f>BL26*1.05</f>
        <v>8253.1160250000012</v>
      </c>
      <c r="BO26" s="6">
        <v>0</v>
      </c>
      <c r="BP26" s="6">
        <f>BN26*1.2</f>
        <v>9903.739230000001</v>
      </c>
      <c r="BQ26" s="6">
        <f t="shared" si="7"/>
        <v>2043.6287300000004</v>
      </c>
      <c r="BR26" s="6">
        <f t="shared" si="8"/>
        <v>9903.739230000001</v>
      </c>
      <c r="BS26" t="s">
        <v>118</v>
      </c>
      <c r="BT26" t="s">
        <v>463</v>
      </c>
      <c r="BU26" s="3">
        <v>640399930000</v>
      </c>
      <c r="BV26" t="s">
        <v>199</v>
      </c>
      <c r="BW26" t="s">
        <v>297</v>
      </c>
      <c r="BX26" t="s">
        <v>112</v>
      </c>
      <c r="BY26">
        <v>10</v>
      </c>
      <c r="BZ26">
        <v>182</v>
      </c>
      <c r="CA26">
        <v>187</v>
      </c>
      <c r="CB26" t="s">
        <v>113</v>
      </c>
      <c r="CC26" s="6">
        <v>5208.99</v>
      </c>
      <c r="CD26" s="6">
        <v>19004.52</v>
      </c>
      <c r="CE26" s="6">
        <f t="shared" si="9"/>
        <v>520.899</v>
      </c>
      <c r="CF26" s="6">
        <f t="shared" si="10"/>
        <v>156.2697</v>
      </c>
      <c r="CG26" s="6">
        <f t="shared" si="11"/>
        <v>5886.1587</v>
      </c>
      <c r="CH26" s="6">
        <v>101</v>
      </c>
      <c r="CI26" s="6">
        <f>CG26*1.1</f>
        <v>6474.7745700000005</v>
      </c>
      <c r="CJ26" s="6">
        <v>0</v>
      </c>
      <c r="CK26" s="6">
        <f>CI26*1.2</f>
        <v>7769.7294840000004</v>
      </c>
      <c r="CL26" s="6">
        <f t="shared" si="12"/>
        <v>1883.5707840000005</v>
      </c>
      <c r="CM26" s="6">
        <f t="shared" si="13"/>
        <v>7769.7294840000004</v>
      </c>
      <c r="CN26" t="s">
        <v>118</v>
      </c>
      <c r="CO26" t="s">
        <v>464</v>
      </c>
      <c r="CP26">
        <f t="shared" ca="1" si="14"/>
        <v>0.35327281942397271</v>
      </c>
      <c r="CQ26">
        <v>1</v>
      </c>
      <c r="CR26" s="10" t="str">
        <f t="shared" si="15"/>
        <v>20.12.2025 22:00</v>
      </c>
    </row>
    <row r="27" spans="1:96" x14ac:dyDescent="0.35">
      <c r="A27">
        <v>1222603032</v>
      </c>
      <c r="B27" t="s">
        <v>362</v>
      </c>
      <c r="C27" t="s">
        <v>123</v>
      </c>
      <c r="D27" t="s">
        <v>93</v>
      </c>
      <c r="E27">
        <v>4000</v>
      </c>
      <c r="F27" t="s">
        <v>94</v>
      </c>
      <c r="G27" t="s">
        <v>95</v>
      </c>
      <c r="H27" t="s">
        <v>96</v>
      </c>
      <c r="I27" t="s">
        <v>124</v>
      </c>
      <c r="J27" t="s">
        <v>98</v>
      </c>
      <c r="K27" s="6">
        <f t="shared" si="0"/>
        <v>3585.9439661999995</v>
      </c>
      <c r="L27" t="s">
        <v>99</v>
      </c>
      <c r="M27" t="s">
        <v>100</v>
      </c>
      <c r="N27" t="s">
        <v>125</v>
      </c>
      <c r="O27" t="s">
        <v>96</v>
      </c>
      <c r="P27" t="s">
        <v>96</v>
      </c>
      <c r="Q27" t="s">
        <v>126</v>
      </c>
      <c r="R27" t="s">
        <v>127</v>
      </c>
      <c r="S27" t="s">
        <v>104</v>
      </c>
      <c r="T27">
        <v>0</v>
      </c>
      <c r="U27">
        <v>30</v>
      </c>
      <c r="V27">
        <v>30</v>
      </c>
      <c r="W27" t="s">
        <v>105</v>
      </c>
      <c r="X27" t="s">
        <v>106</v>
      </c>
      <c r="Y27" t="s">
        <v>107</v>
      </c>
      <c r="Z27" t="s">
        <v>108</v>
      </c>
      <c r="AA27">
        <v>306</v>
      </c>
      <c r="AB27">
        <v>321</v>
      </c>
      <c r="AC27" t="s">
        <v>109</v>
      </c>
      <c r="AD27" t="s">
        <v>128</v>
      </c>
      <c r="AE27" s="3">
        <v>292241000000</v>
      </c>
      <c r="AF27" t="s">
        <v>129</v>
      </c>
      <c r="AG27" t="s">
        <v>127</v>
      </c>
      <c r="AH27" t="s">
        <v>112</v>
      </c>
      <c r="AI27">
        <v>9</v>
      </c>
      <c r="AJ27">
        <v>102</v>
      </c>
      <c r="AK27">
        <v>107</v>
      </c>
      <c r="AL27" t="s">
        <v>113</v>
      </c>
      <c r="AM27" s="6">
        <v>870.48</v>
      </c>
      <c r="AN27" s="6">
        <f>AM27*1.08</f>
        <v>940.11840000000007</v>
      </c>
      <c r="AO27" s="6">
        <f t="shared" si="1"/>
        <v>87.048000000000002</v>
      </c>
      <c r="AP27" s="6">
        <f t="shared" si="2"/>
        <v>26.1144</v>
      </c>
      <c r="AQ27" s="6">
        <f t="shared" si="3"/>
        <v>983.64240000000007</v>
      </c>
      <c r="AR27">
        <v>501</v>
      </c>
      <c r="AS27" s="6">
        <v>0</v>
      </c>
      <c r="AT27" s="6">
        <v>0</v>
      </c>
      <c r="AU27" s="6">
        <f>AQ27*1.2</f>
        <v>1180.3708799999999</v>
      </c>
      <c r="AV27" s="6">
        <f t="shared" si="16"/>
        <v>196.72847999999988</v>
      </c>
      <c r="AW27" s="6">
        <f t="shared" si="17"/>
        <v>1180.3708799999999</v>
      </c>
      <c r="AX27" t="s">
        <v>114</v>
      </c>
      <c r="AY27" t="s">
        <v>130</v>
      </c>
      <c r="AZ27" s="3">
        <v>390110900000</v>
      </c>
      <c r="BA27" t="s">
        <v>131</v>
      </c>
      <c r="BB27" t="s">
        <v>127</v>
      </c>
      <c r="BC27" t="s">
        <v>117</v>
      </c>
      <c r="BD27">
        <v>7</v>
      </c>
      <c r="BE27">
        <v>102</v>
      </c>
      <c r="BF27">
        <v>107</v>
      </c>
      <c r="BG27" t="s">
        <v>113</v>
      </c>
      <c r="BH27" s="6">
        <v>806.33</v>
      </c>
      <c r="BI27" s="6">
        <f>BH27*1.08</f>
        <v>870.83640000000014</v>
      </c>
      <c r="BJ27" s="6">
        <f t="shared" si="4"/>
        <v>80.63300000000001</v>
      </c>
      <c r="BK27" s="6">
        <f t="shared" si="5"/>
        <v>24.189900000000002</v>
      </c>
      <c r="BL27" s="6">
        <f t="shared" si="6"/>
        <v>911.15290000000005</v>
      </c>
      <c r="BM27" s="6">
        <v>501</v>
      </c>
      <c r="BN27" s="6">
        <f>BL27*1.065</f>
        <v>970.37783850000005</v>
      </c>
      <c r="BO27" s="6">
        <v>0</v>
      </c>
      <c r="BP27" s="6">
        <f>BN27*1.2</f>
        <v>1164.4534062</v>
      </c>
      <c r="BQ27" s="6">
        <f t="shared" si="7"/>
        <v>253.30050619999997</v>
      </c>
      <c r="BR27" s="6">
        <f t="shared" si="8"/>
        <v>1164.4534062</v>
      </c>
      <c r="BS27" t="s">
        <v>114</v>
      </c>
      <c r="BT27" t="s">
        <v>132</v>
      </c>
      <c r="BU27" s="3">
        <v>310210100000</v>
      </c>
      <c r="BV27" t="s">
        <v>133</v>
      </c>
      <c r="BW27" t="s">
        <v>127</v>
      </c>
      <c r="BX27" t="s">
        <v>117</v>
      </c>
      <c r="BY27">
        <v>16</v>
      </c>
      <c r="BZ27">
        <v>102</v>
      </c>
      <c r="CA27">
        <v>107</v>
      </c>
      <c r="CB27" t="s">
        <v>113</v>
      </c>
      <c r="CC27" s="6">
        <v>915.28</v>
      </c>
      <c r="CD27" s="6">
        <f>CC27*1.08</f>
        <v>988.50240000000008</v>
      </c>
      <c r="CE27" s="6">
        <f t="shared" si="9"/>
        <v>91.528000000000006</v>
      </c>
      <c r="CF27" s="6">
        <f t="shared" si="10"/>
        <v>27.458399999999997</v>
      </c>
      <c r="CG27" s="6">
        <f t="shared" si="11"/>
        <v>1034.2664</v>
      </c>
      <c r="CH27" s="6">
        <v>501</v>
      </c>
      <c r="CI27" s="6">
        <v>0</v>
      </c>
      <c r="CJ27" s="6">
        <v>0</v>
      </c>
      <c r="CK27" s="6">
        <f>CG27*1.2</f>
        <v>1241.11968</v>
      </c>
      <c r="CL27" s="6">
        <f t="shared" si="12"/>
        <v>206.85328000000004</v>
      </c>
      <c r="CM27" s="6">
        <f t="shared" si="13"/>
        <v>1241.11968</v>
      </c>
      <c r="CN27" t="s">
        <v>114</v>
      </c>
      <c r="CO27" t="s">
        <v>134</v>
      </c>
      <c r="CP27">
        <f t="shared" ca="1" si="14"/>
        <v>0.53323231877321964</v>
      </c>
      <c r="CQ27">
        <v>1</v>
      </c>
      <c r="CR27" s="10" t="str">
        <f t="shared" si="15"/>
        <v>20.12.2025 22:00</v>
      </c>
    </row>
    <row r="28" spans="1:96" x14ac:dyDescent="0.35">
      <c r="A28">
        <v>1222603033</v>
      </c>
      <c r="B28" t="s">
        <v>368</v>
      </c>
      <c r="C28" t="s">
        <v>92</v>
      </c>
      <c r="D28" t="s">
        <v>93</v>
      </c>
      <c r="E28">
        <v>4000</v>
      </c>
      <c r="F28" t="s">
        <v>94</v>
      </c>
      <c r="G28" t="s">
        <v>95</v>
      </c>
      <c r="H28" t="s">
        <v>96</v>
      </c>
      <c r="I28" t="s">
        <v>97</v>
      </c>
      <c r="J28" t="s">
        <v>98</v>
      </c>
      <c r="K28" s="6">
        <f t="shared" si="0"/>
        <v>2384.0751299999997</v>
      </c>
      <c r="L28" t="s">
        <v>99</v>
      </c>
      <c r="M28" t="s">
        <v>100</v>
      </c>
      <c r="N28" t="s">
        <v>101</v>
      </c>
      <c r="O28" t="s">
        <v>96</v>
      </c>
      <c r="P28" t="s">
        <v>96</v>
      </c>
      <c r="Q28" t="s">
        <v>102</v>
      </c>
      <c r="R28" t="s">
        <v>103</v>
      </c>
      <c r="S28" t="s">
        <v>104</v>
      </c>
      <c r="T28">
        <v>0</v>
      </c>
      <c r="U28">
        <v>30</v>
      </c>
      <c r="V28">
        <v>30</v>
      </c>
      <c r="W28" t="s">
        <v>105</v>
      </c>
      <c r="X28" t="s">
        <v>106</v>
      </c>
      <c r="Y28" t="s">
        <v>107</v>
      </c>
      <c r="Z28" t="s">
        <v>108</v>
      </c>
      <c r="AA28">
        <v>300</v>
      </c>
      <c r="AB28">
        <v>315</v>
      </c>
      <c r="AC28" t="s">
        <v>109</v>
      </c>
      <c r="AD28" t="s">
        <v>110</v>
      </c>
      <c r="AE28" s="3">
        <v>190531990000</v>
      </c>
      <c r="AF28" t="s">
        <v>111</v>
      </c>
      <c r="AG28" t="s">
        <v>103</v>
      </c>
      <c r="AH28" t="s">
        <v>112</v>
      </c>
      <c r="AI28">
        <v>5</v>
      </c>
      <c r="AJ28">
        <v>100</v>
      </c>
      <c r="AK28">
        <v>105</v>
      </c>
      <c r="AL28" t="s">
        <v>113</v>
      </c>
      <c r="AM28" s="6">
        <v>647.74</v>
      </c>
      <c r="AN28" s="6">
        <f>AM28*1.08</f>
        <v>699.55920000000003</v>
      </c>
      <c r="AO28" s="6">
        <f t="shared" si="1"/>
        <v>64.774000000000001</v>
      </c>
      <c r="AP28" s="6">
        <f t="shared" si="2"/>
        <v>19.432199999999998</v>
      </c>
      <c r="AQ28" s="6">
        <f t="shared" si="3"/>
        <v>731.94619999999998</v>
      </c>
      <c r="AR28">
        <v>501</v>
      </c>
      <c r="AS28" s="6">
        <v>0</v>
      </c>
      <c r="AT28" s="6">
        <v>0</v>
      </c>
      <c r="AU28" s="6">
        <f>AQ28*1.2</f>
        <v>878.33543999999995</v>
      </c>
      <c r="AV28" s="6">
        <f t="shared" si="16"/>
        <v>146.38923999999997</v>
      </c>
      <c r="AW28" s="6">
        <f t="shared" si="17"/>
        <v>878.33543999999995</v>
      </c>
      <c r="AX28" t="s">
        <v>114</v>
      </c>
      <c r="AY28" t="s">
        <v>115</v>
      </c>
      <c r="AZ28" s="3">
        <v>804100000000</v>
      </c>
      <c r="BA28" t="s">
        <v>116</v>
      </c>
      <c r="BB28" t="s">
        <v>103</v>
      </c>
      <c r="BC28" t="s">
        <v>117</v>
      </c>
      <c r="BD28">
        <v>15</v>
      </c>
      <c r="BE28">
        <v>100</v>
      </c>
      <c r="BF28">
        <v>105</v>
      </c>
      <c r="BG28" t="s">
        <v>113</v>
      </c>
      <c r="BH28" s="6">
        <v>634.97</v>
      </c>
      <c r="BI28" s="6">
        <f>BH28*1.08</f>
        <v>685.76760000000013</v>
      </c>
      <c r="BJ28" s="6">
        <f t="shared" si="4"/>
        <v>63.497000000000007</v>
      </c>
      <c r="BK28" s="6">
        <f t="shared" si="5"/>
        <v>19.049099999999999</v>
      </c>
      <c r="BL28" s="6">
        <f t="shared" si="6"/>
        <v>717.51609999999994</v>
      </c>
      <c r="BM28" s="6">
        <v>501</v>
      </c>
      <c r="BN28" s="6">
        <v>0</v>
      </c>
      <c r="BO28" s="6">
        <v>0</v>
      </c>
      <c r="BP28" s="6">
        <f>BL28*1.2</f>
        <v>861.01931999999988</v>
      </c>
      <c r="BQ28" s="6">
        <f t="shared" si="7"/>
        <v>143.50321999999994</v>
      </c>
      <c r="BR28" s="6">
        <f t="shared" si="8"/>
        <v>861.01931999999988</v>
      </c>
      <c r="BS28" t="s">
        <v>118</v>
      </c>
      <c r="BT28" t="s">
        <v>119</v>
      </c>
      <c r="BU28" s="3">
        <v>100199000000</v>
      </c>
      <c r="BV28" t="s">
        <v>120</v>
      </c>
      <c r="BW28" t="s">
        <v>103</v>
      </c>
      <c r="BX28" t="s">
        <v>117</v>
      </c>
      <c r="BY28">
        <v>11</v>
      </c>
      <c r="BZ28">
        <v>100</v>
      </c>
      <c r="CA28">
        <v>105</v>
      </c>
      <c r="CB28" t="s">
        <v>113</v>
      </c>
      <c r="CC28" s="6">
        <v>564.9</v>
      </c>
      <c r="CD28" s="6">
        <f>CC28*1.08</f>
        <v>610.09199999999998</v>
      </c>
      <c r="CE28" s="6">
        <f t="shared" si="9"/>
        <v>56.49</v>
      </c>
      <c r="CF28" s="6">
        <f t="shared" si="10"/>
        <v>16.946999999999999</v>
      </c>
      <c r="CG28" s="6">
        <f t="shared" si="11"/>
        <v>638.33699999999999</v>
      </c>
      <c r="CH28" s="6">
        <v>501</v>
      </c>
      <c r="CI28" s="6">
        <v>0</v>
      </c>
      <c r="CJ28" s="6">
        <v>0</v>
      </c>
      <c r="CK28" s="6">
        <f>CG28*1.01</f>
        <v>644.72037</v>
      </c>
      <c r="CL28" s="6">
        <f t="shared" si="12"/>
        <v>6.3833700000000135</v>
      </c>
      <c r="CM28" s="6">
        <f t="shared" si="13"/>
        <v>644.72037</v>
      </c>
      <c r="CN28" t="s">
        <v>118</v>
      </c>
      <c r="CO28" t="s">
        <v>121</v>
      </c>
      <c r="CP28">
        <f t="shared" ca="1" si="14"/>
        <v>0.52098868327070447</v>
      </c>
      <c r="CQ28">
        <v>1</v>
      </c>
      <c r="CR28" s="10" t="str">
        <f t="shared" si="15"/>
        <v>20.12.2025 22:00</v>
      </c>
    </row>
    <row r="29" spans="1:96" x14ac:dyDescent="0.35">
      <c r="A29">
        <v>1222603034</v>
      </c>
      <c r="B29" t="s">
        <v>374</v>
      </c>
      <c r="C29" t="s">
        <v>357</v>
      </c>
      <c r="D29" t="s">
        <v>93</v>
      </c>
      <c r="E29">
        <v>4000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s="6">
        <f t="shared" si="0"/>
        <v>7011.5573399999994</v>
      </c>
      <c r="L29" t="s">
        <v>99</v>
      </c>
      <c r="M29" t="s">
        <v>100</v>
      </c>
      <c r="N29" t="s">
        <v>101</v>
      </c>
      <c r="O29" t="s">
        <v>96</v>
      </c>
      <c r="P29" t="s">
        <v>96</v>
      </c>
      <c r="Q29" t="s">
        <v>358</v>
      </c>
      <c r="R29" t="s">
        <v>103</v>
      </c>
      <c r="S29" t="s">
        <v>104</v>
      </c>
      <c r="T29">
        <v>0</v>
      </c>
      <c r="U29">
        <v>30</v>
      </c>
      <c r="V29">
        <v>30</v>
      </c>
      <c r="W29" t="s">
        <v>105</v>
      </c>
      <c r="X29" t="s">
        <v>106</v>
      </c>
      <c r="Y29" t="s">
        <v>107</v>
      </c>
      <c r="Z29" t="s">
        <v>108</v>
      </c>
      <c r="AA29">
        <v>444</v>
      </c>
      <c r="AB29">
        <v>459</v>
      </c>
      <c r="AC29" t="s">
        <v>109</v>
      </c>
      <c r="AD29" t="s">
        <v>128</v>
      </c>
      <c r="AE29" s="3">
        <v>847130000000</v>
      </c>
      <c r="AF29" t="s">
        <v>154</v>
      </c>
      <c r="AG29" t="s">
        <v>103</v>
      </c>
      <c r="AH29" t="s">
        <v>112</v>
      </c>
      <c r="AI29">
        <v>10</v>
      </c>
      <c r="AJ29">
        <v>148</v>
      </c>
      <c r="AK29">
        <v>153</v>
      </c>
      <c r="AL29" t="s">
        <v>113</v>
      </c>
      <c r="AM29" s="6">
        <v>1824.02</v>
      </c>
      <c r="AN29" s="6">
        <f>AM29*1.08</f>
        <v>1969.9416000000001</v>
      </c>
      <c r="AO29" s="6">
        <f t="shared" si="1"/>
        <v>182.40200000000002</v>
      </c>
      <c r="AP29" s="6">
        <f t="shared" si="2"/>
        <v>54.720599999999997</v>
      </c>
      <c r="AQ29" s="6">
        <f t="shared" si="3"/>
        <v>2061.1426000000001</v>
      </c>
      <c r="AR29">
        <v>501</v>
      </c>
      <c r="AS29" s="6">
        <v>0</v>
      </c>
      <c r="AT29" s="6">
        <v>0</v>
      </c>
      <c r="AU29" s="6">
        <f>AQ29*1.2</f>
        <v>2473.3711200000002</v>
      </c>
      <c r="AV29" s="6">
        <f t="shared" si="16"/>
        <v>412.22852000000012</v>
      </c>
      <c r="AW29" s="6">
        <f t="shared" si="17"/>
        <v>2473.3711200000002</v>
      </c>
      <c r="AX29" t="s">
        <v>114</v>
      </c>
      <c r="AY29" t="s">
        <v>359</v>
      </c>
      <c r="AZ29" s="3">
        <v>851713000000</v>
      </c>
      <c r="BA29" t="s">
        <v>156</v>
      </c>
      <c r="BB29" t="s">
        <v>103</v>
      </c>
      <c r="BC29" t="s">
        <v>112</v>
      </c>
      <c r="BD29">
        <v>20</v>
      </c>
      <c r="BE29">
        <v>148</v>
      </c>
      <c r="BF29">
        <v>153</v>
      </c>
      <c r="BG29" t="s">
        <v>113</v>
      </c>
      <c r="BH29" s="6">
        <v>1278.51</v>
      </c>
      <c r="BI29" s="6">
        <f>BH29*1.08</f>
        <v>1380.7908</v>
      </c>
      <c r="BJ29" s="6">
        <f t="shared" si="4"/>
        <v>127.851</v>
      </c>
      <c r="BK29" s="6">
        <f t="shared" si="5"/>
        <v>38.3553</v>
      </c>
      <c r="BL29" s="6">
        <f t="shared" si="6"/>
        <v>1444.7162999999998</v>
      </c>
      <c r="BM29" s="6">
        <v>602</v>
      </c>
      <c r="BN29" s="6">
        <v>0</v>
      </c>
      <c r="BO29" s="6">
        <f>BL29*1.5</f>
        <v>2167.0744499999996</v>
      </c>
      <c r="BP29" s="6">
        <f>BO29*1.2</f>
        <v>2600.4893399999996</v>
      </c>
      <c r="BQ29" s="6">
        <f t="shared" si="7"/>
        <v>1155.7730399999998</v>
      </c>
      <c r="BR29" s="6">
        <f t="shared" si="8"/>
        <v>2600.4893399999996</v>
      </c>
      <c r="BS29" t="s">
        <v>114</v>
      </c>
      <c r="BT29" t="s">
        <v>360</v>
      </c>
      <c r="BU29" s="3">
        <v>701349100000</v>
      </c>
      <c r="BV29" t="s">
        <v>158</v>
      </c>
      <c r="BW29" t="s">
        <v>103</v>
      </c>
      <c r="BX29" t="s">
        <v>112</v>
      </c>
      <c r="BY29">
        <v>18</v>
      </c>
      <c r="BZ29">
        <v>148</v>
      </c>
      <c r="CA29">
        <v>153</v>
      </c>
      <c r="CB29" t="s">
        <v>113</v>
      </c>
      <c r="CC29" s="6">
        <v>1428.98</v>
      </c>
      <c r="CD29" s="6">
        <f>CC29*1.08</f>
        <v>1543.2984000000001</v>
      </c>
      <c r="CE29" s="6">
        <f t="shared" si="9"/>
        <v>142.898</v>
      </c>
      <c r="CF29" s="6">
        <f t="shared" si="10"/>
        <v>42.869399999999999</v>
      </c>
      <c r="CG29" s="6">
        <f t="shared" si="11"/>
        <v>1614.7474</v>
      </c>
      <c r="CH29" s="6">
        <v>501</v>
      </c>
      <c r="CI29" s="6">
        <v>0</v>
      </c>
      <c r="CJ29" s="6">
        <v>0</v>
      </c>
      <c r="CK29" s="6">
        <f>CG29*1.2</f>
        <v>1937.69688</v>
      </c>
      <c r="CL29" s="6">
        <f t="shared" si="12"/>
        <v>322.94947999999999</v>
      </c>
      <c r="CM29" s="6">
        <f t="shared" si="13"/>
        <v>1937.69688</v>
      </c>
      <c r="CN29" t="s">
        <v>114</v>
      </c>
      <c r="CO29" t="s">
        <v>361</v>
      </c>
      <c r="CP29">
        <f t="shared" ca="1" si="14"/>
        <v>0.32259151098561267</v>
      </c>
      <c r="CQ29">
        <v>1</v>
      </c>
      <c r="CR29" s="10" t="str">
        <f t="shared" si="15"/>
        <v>20.12.2025 22:00</v>
      </c>
    </row>
    <row r="30" spans="1:96" x14ac:dyDescent="0.35">
      <c r="A30">
        <v>1222603035</v>
      </c>
      <c r="B30" t="s">
        <v>380</v>
      </c>
      <c r="C30" t="s">
        <v>430</v>
      </c>
      <c r="D30" t="s">
        <v>93</v>
      </c>
      <c r="E30">
        <v>4000</v>
      </c>
      <c r="F30" t="s">
        <v>94</v>
      </c>
      <c r="G30" t="s">
        <v>95</v>
      </c>
      <c r="H30" t="s">
        <v>96</v>
      </c>
      <c r="I30" t="s">
        <v>249</v>
      </c>
      <c r="J30" t="s">
        <v>176</v>
      </c>
      <c r="K30" s="6">
        <f t="shared" si="0"/>
        <v>4114.7267430000002</v>
      </c>
      <c r="L30" t="s">
        <v>99</v>
      </c>
      <c r="M30" t="s">
        <v>100</v>
      </c>
      <c r="N30" t="s">
        <v>250</v>
      </c>
      <c r="O30" t="s">
        <v>96</v>
      </c>
      <c r="P30" t="s">
        <v>96</v>
      </c>
      <c r="Q30" t="s">
        <v>431</v>
      </c>
      <c r="R30" t="s">
        <v>252</v>
      </c>
      <c r="S30" t="s">
        <v>104</v>
      </c>
      <c r="T30">
        <v>0</v>
      </c>
      <c r="U30">
        <v>30</v>
      </c>
      <c r="V30">
        <v>30</v>
      </c>
      <c r="W30" t="s">
        <v>105</v>
      </c>
      <c r="X30" t="s">
        <v>106</v>
      </c>
      <c r="Y30" t="s">
        <v>107</v>
      </c>
      <c r="Z30" t="s">
        <v>108</v>
      </c>
      <c r="AA30">
        <v>516</v>
      </c>
      <c r="AB30">
        <v>531</v>
      </c>
      <c r="AC30" t="s">
        <v>109</v>
      </c>
      <c r="AD30" t="s">
        <v>180</v>
      </c>
      <c r="AE30" s="3">
        <v>292241000000</v>
      </c>
      <c r="AF30" t="s">
        <v>129</v>
      </c>
      <c r="AG30" t="s">
        <v>252</v>
      </c>
      <c r="AH30" t="s">
        <v>112</v>
      </c>
      <c r="AI30">
        <v>12</v>
      </c>
      <c r="AJ30">
        <v>172</v>
      </c>
      <c r="AK30">
        <v>177</v>
      </c>
      <c r="AL30" t="s">
        <v>113</v>
      </c>
      <c r="AM30" s="6">
        <v>994.26</v>
      </c>
      <c r="AN30" s="6">
        <f>AM30*1.08</f>
        <v>1073.8008</v>
      </c>
      <c r="AO30" s="6">
        <f t="shared" si="1"/>
        <v>99.426000000000002</v>
      </c>
      <c r="AP30" s="6">
        <f t="shared" si="2"/>
        <v>29.8278</v>
      </c>
      <c r="AQ30" s="6">
        <f t="shared" si="3"/>
        <v>1123.5137999999999</v>
      </c>
      <c r="AR30">
        <v>501</v>
      </c>
      <c r="AS30" s="6">
        <f>AQ30*1.05</f>
        <v>1179.68949</v>
      </c>
      <c r="AT30" s="6">
        <v>0</v>
      </c>
      <c r="AU30" s="6">
        <f>AS30*1.2</f>
        <v>1415.6273879999999</v>
      </c>
      <c r="AV30" s="6">
        <f t="shared" si="16"/>
        <v>292.11358799999994</v>
      </c>
      <c r="AW30" s="6">
        <f t="shared" si="17"/>
        <v>1415.6273879999999</v>
      </c>
      <c r="AX30" t="s">
        <v>118</v>
      </c>
      <c r="AY30" t="s">
        <v>432</v>
      </c>
      <c r="AZ30" s="3">
        <v>390110900000</v>
      </c>
      <c r="BA30" t="s">
        <v>131</v>
      </c>
      <c r="BB30" t="s">
        <v>252</v>
      </c>
      <c r="BC30" t="s">
        <v>117</v>
      </c>
      <c r="BD30">
        <v>7</v>
      </c>
      <c r="BE30">
        <v>172</v>
      </c>
      <c r="BF30">
        <v>177</v>
      </c>
      <c r="BG30" t="s">
        <v>113</v>
      </c>
      <c r="BH30" s="6">
        <v>944.25</v>
      </c>
      <c r="BI30" s="6">
        <f>BH30*1.08</f>
        <v>1019.7900000000001</v>
      </c>
      <c r="BJ30" s="6">
        <f t="shared" si="4"/>
        <v>94.425000000000011</v>
      </c>
      <c r="BK30" s="6">
        <f t="shared" si="5"/>
        <v>28.327500000000001</v>
      </c>
      <c r="BL30" s="6">
        <f t="shared" si="6"/>
        <v>1067.0025000000001</v>
      </c>
      <c r="BM30" s="6">
        <v>501</v>
      </c>
      <c r="BN30" s="6">
        <f>BL30*1.065</f>
        <v>1136.3576625000001</v>
      </c>
      <c r="BO30" s="6">
        <v>0</v>
      </c>
      <c r="BP30" s="6">
        <f t="shared" ref="BP30:BP35" si="18">BN30*1.2</f>
        <v>1363.629195</v>
      </c>
      <c r="BQ30" s="6">
        <f t="shared" si="7"/>
        <v>296.62669499999993</v>
      </c>
      <c r="BR30" s="6">
        <f t="shared" si="8"/>
        <v>1363.629195</v>
      </c>
      <c r="BS30" t="s">
        <v>118</v>
      </c>
      <c r="BT30" t="s">
        <v>433</v>
      </c>
      <c r="BU30" s="3">
        <v>310210100000</v>
      </c>
      <c r="BV30" t="s">
        <v>133</v>
      </c>
      <c r="BW30" t="s">
        <v>252</v>
      </c>
      <c r="BX30" t="s">
        <v>117</v>
      </c>
      <c r="BY30">
        <v>20</v>
      </c>
      <c r="BZ30">
        <v>172</v>
      </c>
      <c r="CA30">
        <v>177</v>
      </c>
      <c r="CB30" t="s">
        <v>113</v>
      </c>
      <c r="CC30" s="6">
        <v>984.86</v>
      </c>
      <c r="CD30" s="6">
        <f>CC30*1.08</f>
        <v>1063.6488000000002</v>
      </c>
      <c r="CE30" s="6">
        <f t="shared" si="9"/>
        <v>98.486000000000004</v>
      </c>
      <c r="CF30" s="6">
        <f t="shared" si="10"/>
        <v>29.5458</v>
      </c>
      <c r="CG30" s="6">
        <f t="shared" si="11"/>
        <v>1112.8918000000001</v>
      </c>
      <c r="CH30" s="6">
        <v>501</v>
      </c>
      <c r="CI30" s="6">
        <v>0</v>
      </c>
      <c r="CJ30" s="6">
        <v>0</v>
      </c>
      <c r="CK30" s="6">
        <f>CG30*1.2</f>
        <v>1335.4701600000001</v>
      </c>
      <c r="CL30" s="6">
        <f t="shared" si="12"/>
        <v>222.57835999999998</v>
      </c>
      <c r="CM30" s="6">
        <f t="shared" si="13"/>
        <v>1335.4701600000001</v>
      </c>
      <c r="CN30" t="s">
        <v>118</v>
      </c>
      <c r="CO30" t="s">
        <v>434</v>
      </c>
      <c r="CP30">
        <f t="shared" ca="1" si="14"/>
        <v>0.43140822736866213</v>
      </c>
      <c r="CQ30">
        <v>1</v>
      </c>
      <c r="CR30" s="10" t="str">
        <f t="shared" si="15"/>
        <v>20.12.2025 22:00</v>
      </c>
    </row>
    <row r="31" spans="1:96" x14ac:dyDescent="0.35">
      <c r="A31">
        <v>1222603036</v>
      </c>
      <c r="B31" t="s">
        <v>386</v>
      </c>
      <c r="C31" t="s">
        <v>312</v>
      </c>
      <c r="D31" t="s">
        <v>93</v>
      </c>
      <c r="E31">
        <v>4000</v>
      </c>
      <c r="F31" t="s">
        <v>94</v>
      </c>
      <c r="G31" t="s">
        <v>95</v>
      </c>
      <c r="H31" t="s">
        <v>96</v>
      </c>
      <c r="I31" t="s">
        <v>313</v>
      </c>
      <c r="J31" t="s">
        <v>176</v>
      </c>
      <c r="K31" s="6">
        <f t="shared" si="0"/>
        <v>4515.5464439999996</v>
      </c>
      <c r="L31" t="s">
        <v>99</v>
      </c>
      <c r="M31" t="s">
        <v>100</v>
      </c>
      <c r="N31" t="s">
        <v>314</v>
      </c>
      <c r="O31" t="s">
        <v>96</v>
      </c>
      <c r="P31" t="s">
        <v>96</v>
      </c>
      <c r="Q31" t="s">
        <v>315</v>
      </c>
      <c r="R31" t="s">
        <v>96</v>
      </c>
      <c r="S31" t="s">
        <v>104</v>
      </c>
      <c r="T31">
        <v>0</v>
      </c>
      <c r="U31">
        <v>30</v>
      </c>
      <c r="V31">
        <v>30</v>
      </c>
      <c r="W31" t="s">
        <v>105</v>
      </c>
      <c r="X31" t="s">
        <v>106</v>
      </c>
      <c r="Y31" t="s">
        <v>107</v>
      </c>
      <c r="Z31" t="s">
        <v>108</v>
      </c>
      <c r="AA31">
        <v>414</v>
      </c>
      <c r="AB31">
        <v>429</v>
      </c>
      <c r="AC31" t="s">
        <v>109</v>
      </c>
      <c r="AD31" t="s">
        <v>110</v>
      </c>
      <c r="AE31" s="3">
        <v>940360100000</v>
      </c>
      <c r="AF31" t="s">
        <v>181</v>
      </c>
      <c r="AG31" t="s">
        <v>316</v>
      </c>
      <c r="AH31" t="s">
        <v>182</v>
      </c>
      <c r="AI31">
        <v>16</v>
      </c>
      <c r="AJ31">
        <v>138</v>
      </c>
      <c r="AK31">
        <v>143</v>
      </c>
      <c r="AL31" t="s">
        <v>113</v>
      </c>
      <c r="AM31" s="6">
        <v>1000.42</v>
      </c>
      <c r="AN31" s="6">
        <v>3150.26</v>
      </c>
      <c r="AO31" s="6">
        <f t="shared" si="1"/>
        <v>100.042</v>
      </c>
      <c r="AP31" s="6">
        <f t="shared" si="2"/>
        <v>30.012599999999999</v>
      </c>
      <c r="AQ31" s="6">
        <f t="shared" si="3"/>
        <v>1130.4746</v>
      </c>
      <c r="AR31">
        <v>501</v>
      </c>
      <c r="AS31" s="6">
        <f>AQ31*1.05</f>
        <v>1186.9983300000001</v>
      </c>
      <c r="AT31" s="6">
        <v>0</v>
      </c>
      <c r="AU31" s="6">
        <f>AS31*1.2</f>
        <v>1424.3979960000001</v>
      </c>
      <c r="AV31" s="6">
        <f t="shared" si="16"/>
        <v>293.92339600000014</v>
      </c>
      <c r="AW31" s="6">
        <f t="shared" si="17"/>
        <v>1424.3979960000001</v>
      </c>
      <c r="AX31" t="s">
        <v>118</v>
      </c>
      <c r="AY31" t="s">
        <v>317</v>
      </c>
      <c r="AZ31" s="3">
        <v>440711100000</v>
      </c>
      <c r="BA31" t="s">
        <v>184</v>
      </c>
      <c r="BB31" t="s">
        <v>316</v>
      </c>
      <c r="BC31" t="s">
        <v>103</v>
      </c>
      <c r="BD31">
        <v>7</v>
      </c>
      <c r="BE31">
        <v>138</v>
      </c>
      <c r="BF31">
        <v>143</v>
      </c>
      <c r="BG31" t="s">
        <v>113</v>
      </c>
      <c r="BH31" s="6">
        <v>1055.48</v>
      </c>
      <c r="BI31" s="6">
        <v>3150.26</v>
      </c>
      <c r="BJ31" s="6">
        <f t="shared" si="4"/>
        <v>105.548</v>
      </c>
      <c r="BK31" s="6">
        <f t="shared" si="5"/>
        <v>31.664400000000001</v>
      </c>
      <c r="BL31" s="6">
        <f t="shared" si="6"/>
        <v>1192.6923999999999</v>
      </c>
      <c r="BM31" s="6">
        <v>501</v>
      </c>
      <c r="BN31" s="6">
        <f>BL31*1.04</f>
        <v>1240.4000959999998</v>
      </c>
      <c r="BO31" s="6">
        <v>0</v>
      </c>
      <c r="BP31" s="6">
        <f t="shared" si="18"/>
        <v>1488.4801151999998</v>
      </c>
      <c r="BQ31" s="6">
        <f t="shared" si="7"/>
        <v>295.78771519999987</v>
      </c>
      <c r="BR31" s="6">
        <f t="shared" si="8"/>
        <v>1488.4801151999998</v>
      </c>
      <c r="BS31" t="s">
        <v>118</v>
      </c>
      <c r="BT31" t="s">
        <v>318</v>
      </c>
      <c r="BU31" s="3">
        <v>690721000000</v>
      </c>
      <c r="BV31" t="s">
        <v>186</v>
      </c>
      <c r="BW31" t="s">
        <v>316</v>
      </c>
      <c r="BX31" t="s">
        <v>112</v>
      </c>
      <c r="BY31">
        <v>19</v>
      </c>
      <c r="BZ31">
        <v>138</v>
      </c>
      <c r="CA31">
        <v>143</v>
      </c>
      <c r="CB31" t="s">
        <v>113</v>
      </c>
      <c r="CC31" s="6">
        <v>1094.3599999999999</v>
      </c>
      <c r="CD31" s="6">
        <v>3150.26</v>
      </c>
      <c r="CE31" s="6">
        <f t="shared" si="9"/>
        <v>109.43599999999999</v>
      </c>
      <c r="CF31" s="6">
        <f t="shared" si="10"/>
        <v>32.830799999999996</v>
      </c>
      <c r="CG31" s="6">
        <f t="shared" si="11"/>
        <v>1236.6267999999998</v>
      </c>
      <c r="CH31" s="6">
        <v>501</v>
      </c>
      <c r="CI31" s="6">
        <f>CG31*1.08</f>
        <v>1335.5569439999999</v>
      </c>
      <c r="CJ31" s="6">
        <v>0</v>
      </c>
      <c r="CK31" s="6">
        <f>CI31*1.2</f>
        <v>1602.6683327999999</v>
      </c>
      <c r="CL31" s="6">
        <f t="shared" si="12"/>
        <v>366.04153280000014</v>
      </c>
      <c r="CM31" s="6">
        <f t="shared" si="13"/>
        <v>1602.6683327999999</v>
      </c>
      <c r="CN31" t="s">
        <v>118</v>
      </c>
      <c r="CO31" t="s">
        <v>319</v>
      </c>
      <c r="CP31">
        <f t="shared" ca="1" si="14"/>
        <v>0.30407656206330047</v>
      </c>
      <c r="CQ31">
        <v>1</v>
      </c>
      <c r="CR31" s="10" t="str">
        <f t="shared" si="15"/>
        <v>20.12.2025 22:00</v>
      </c>
    </row>
    <row r="32" spans="1:96" x14ac:dyDescent="0.35">
      <c r="A32">
        <v>1222603037</v>
      </c>
      <c r="B32" t="s">
        <v>392</v>
      </c>
      <c r="C32" t="s">
        <v>212</v>
      </c>
      <c r="D32" t="s">
        <v>93</v>
      </c>
      <c r="E32">
        <v>4000</v>
      </c>
      <c r="F32" t="s">
        <v>94</v>
      </c>
      <c r="G32" t="s">
        <v>95</v>
      </c>
      <c r="H32" t="s">
        <v>96</v>
      </c>
      <c r="I32" t="s">
        <v>213</v>
      </c>
      <c r="J32" t="s">
        <v>98</v>
      </c>
      <c r="K32" s="6">
        <f t="shared" si="0"/>
        <v>3978.7528259999999</v>
      </c>
      <c r="L32" t="s">
        <v>99</v>
      </c>
      <c r="M32" t="s">
        <v>100</v>
      </c>
      <c r="N32" t="s">
        <v>214</v>
      </c>
      <c r="O32" t="s">
        <v>96</v>
      </c>
      <c r="P32" t="s">
        <v>96</v>
      </c>
      <c r="Q32" t="s">
        <v>215</v>
      </c>
      <c r="R32" t="s">
        <v>216</v>
      </c>
      <c r="S32" t="s">
        <v>104</v>
      </c>
      <c r="T32">
        <v>0</v>
      </c>
      <c r="U32">
        <v>30</v>
      </c>
      <c r="V32">
        <v>30</v>
      </c>
      <c r="W32" t="s">
        <v>105</v>
      </c>
      <c r="X32" t="s">
        <v>106</v>
      </c>
      <c r="Y32" t="s">
        <v>107</v>
      </c>
      <c r="Z32" t="s">
        <v>108</v>
      </c>
      <c r="AA32">
        <v>348</v>
      </c>
      <c r="AB32">
        <v>363</v>
      </c>
      <c r="AC32" t="s">
        <v>109</v>
      </c>
      <c r="AD32" t="s">
        <v>193</v>
      </c>
      <c r="AE32" s="3">
        <v>292241000000</v>
      </c>
      <c r="AF32" t="s">
        <v>129</v>
      </c>
      <c r="AG32" t="s">
        <v>216</v>
      </c>
      <c r="AH32" t="s">
        <v>112</v>
      </c>
      <c r="AI32">
        <v>19</v>
      </c>
      <c r="AJ32">
        <v>116</v>
      </c>
      <c r="AK32">
        <v>121</v>
      </c>
      <c r="AL32" t="s">
        <v>113</v>
      </c>
      <c r="AM32" s="6">
        <v>756.92</v>
      </c>
      <c r="AN32" s="6">
        <f>AM32*1.08</f>
        <v>817.47360000000003</v>
      </c>
      <c r="AO32" s="6">
        <f t="shared" si="1"/>
        <v>75.691999999999993</v>
      </c>
      <c r="AP32" s="6">
        <f t="shared" si="2"/>
        <v>22.707599999999999</v>
      </c>
      <c r="AQ32" s="6">
        <f t="shared" si="3"/>
        <v>855.31959999999992</v>
      </c>
      <c r="AR32">
        <v>501</v>
      </c>
      <c r="AS32" s="6">
        <v>0</v>
      </c>
      <c r="AT32" s="6">
        <v>0</v>
      </c>
      <c r="AU32" s="6">
        <f>AQ32*1.2</f>
        <v>1026.3835199999999</v>
      </c>
      <c r="AV32" s="6">
        <f t="shared" si="16"/>
        <v>171.06391999999994</v>
      </c>
      <c r="AW32" s="6">
        <f t="shared" si="17"/>
        <v>1026.3835199999999</v>
      </c>
      <c r="AX32" t="s">
        <v>114</v>
      </c>
      <c r="AY32" t="s">
        <v>217</v>
      </c>
      <c r="AZ32" s="3">
        <v>390110900000</v>
      </c>
      <c r="BA32" t="s">
        <v>131</v>
      </c>
      <c r="BB32" t="s">
        <v>216</v>
      </c>
      <c r="BC32" t="s">
        <v>117</v>
      </c>
      <c r="BD32">
        <v>6</v>
      </c>
      <c r="BE32">
        <v>116</v>
      </c>
      <c r="BF32">
        <v>121</v>
      </c>
      <c r="BG32" t="s">
        <v>113</v>
      </c>
      <c r="BH32" s="6">
        <v>977.9</v>
      </c>
      <c r="BI32" s="6">
        <f>BH32*1.08</f>
        <v>1056.1320000000001</v>
      </c>
      <c r="BJ32" s="6">
        <f t="shared" si="4"/>
        <v>97.79</v>
      </c>
      <c r="BK32" s="6">
        <f t="shared" si="5"/>
        <v>29.337</v>
      </c>
      <c r="BL32" s="6">
        <f t="shared" si="6"/>
        <v>1105.027</v>
      </c>
      <c r="BM32" s="6">
        <v>501</v>
      </c>
      <c r="BN32" s="6">
        <f>BL32*1.065</f>
        <v>1176.8537550000001</v>
      </c>
      <c r="BO32" s="6">
        <v>0</v>
      </c>
      <c r="BP32" s="6">
        <f t="shared" si="18"/>
        <v>1412.224506</v>
      </c>
      <c r="BQ32" s="6">
        <f t="shared" si="7"/>
        <v>307.19750599999998</v>
      </c>
      <c r="BR32" s="6">
        <f t="shared" si="8"/>
        <v>1412.224506</v>
      </c>
      <c r="BS32" t="s">
        <v>114</v>
      </c>
      <c r="BT32" t="s">
        <v>218</v>
      </c>
      <c r="BU32" s="3">
        <v>310210100000</v>
      </c>
      <c r="BV32" t="s">
        <v>133</v>
      </c>
      <c r="BW32" t="s">
        <v>216</v>
      </c>
      <c r="BX32" t="s">
        <v>117</v>
      </c>
      <c r="BY32">
        <v>10</v>
      </c>
      <c r="BZ32">
        <v>116</v>
      </c>
      <c r="CA32">
        <v>121</v>
      </c>
      <c r="CB32" t="s">
        <v>113</v>
      </c>
      <c r="CC32" s="6">
        <v>1135.8</v>
      </c>
      <c r="CD32" s="6">
        <f>CC32*1.08</f>
        <v>1226.664</v>
      </c>
      <c r="CE32" s="6">
        <f t="shared" si="9"/>
        <v>113.58</v>
      </c>
      <c r="CF32" s="6">
        <f t="shared" si="10"/>
        <v>34.073999999999998</v>
      </c>
      <c r="CG32" s="6">
        <f t="shared" si="11"/>
        <v>1283.454</v>
      </c>
      <c r="CH32" s="6">
        <v>501</v>
      </c>
      <c r="CI32" s="6">
        <v>0</v>
      </c>
      <c r="CJ32" s="6">
        <v>0</v>
      </c>
      <c r="CK32" s="6">
        <f>CG32*1.2</f>
        <v>1540.1447999999998</v>
      </c>
      <c r="CL32" s="6">
        <f t="shared" si="12"/>
        <v>256.69079999999985</v>
      </c>
      <c r="CM32" s="6">
        <f t="shared" si="13"/>
        <v>1540.1447999999998</v>
      </c>
      <c r="CN32" t="s">
        <v>114</v>
      </c>
      <c r="CO32" t="s">
        <v>219</v>
      </c>
      <c r="CP32">
        <f t="shared" ca="1" si="14"/>
        <v>0.1105025289825875</v>
      </c>
      <c r="CQ32">
        <v>1</v>
      </c>
      <c r="CR32" s="10" t="str">
        <f t="shared" si="15"/>
        <v>20.12.2025 22:00</v>
      </c>
    </row>
    <row r="33" spans="1:96" x14ac:dyDescent="0.35">
      <c r="A33">
        <v>1222603038</v>
      </c>
      <c r="B33" t="s">
        <v>398</v>
      </c>
      <c r="C33" t="s">
        <v>491</v>
      </c>
      <c r="D33" t="s">
        <v>93</v>
      </c>
      <c r="E33">
        <v>4000</v>
      </c>
      <c r="F33" t="s">
        <v>94</v>
      </c>
      <c r="G33" t="s">
        <v>95</v>
      </c>
      <c r="H33" t="s">
        <v>96</v>
      </c>
      <c r="I33" t="s">
        <v>340</v>
      </c>
      <c r="J33" t="s">
        <v>176</v>
      </c>
      <c r="K33" s="6">
        <f t="shared" si="0"/>
        <v>5415.2918919999993</v>
      </c>
      <c r="L33" t="s">
        <v>99</v>
      </c>
      <c r="M33" t="s">
        <v>100</v>
      </c>
      <c r="N33" t="s">
        <v>341</v>
      </c>
      <c r="O33" t="s">
        <v>96</v>
      </c>
      <c r="P33" t="s">
        <v>96</v>
      </c>
      <c r="Q33" t="s">
        <v>492</v>
      </c>
      <c r="R33" t="s">
        <v>343</v>
      </c>
      <c r="S33" t="s">
        <v>104</v>
      </c>
      <c r="T33">
        <v>0</v>
      </c>
      <c r="U33">
        <v>30</v>
      </c>
      <c r="V33">
        <v>30</v>
      </c>
      <c r="W33" t="s">
        <v>105</v>
      </c>
      <c r="X33" t="s">
        <v>106</v>
      </c>
      <c r="Y33" t="s">
        <v>107</v>
      </c>
      <c r="Z33" t="s">
        <v>108</v>
      </c>
      <c r="AA33">
        <v>576</v>
      </c>
      <c r="AB33">
        <v>591</v>
      </c>
      <c r="AC33" t="s">
        <v>109</v>
      </c>
      <c r="AD33" t="s">
        <v>180</v>
      </c>
      <c r="AE33" s="3">
        <v>401110000000</v>
      </c>
      <c r="AF33" t="s">
        <v>167</v>
      </c>
      <c r="AG33" t="s">
        <v>343</v>
      </c>
      <c r="AH33" t="s">
        <v>112</v>
      </c>
      <c r="AI33">
        <v>5</v>
      </c>
      <c r="AJ33">
        <v>192</v>
      </c>
      <c r="AK33">
        <v>197</v>
      </c>
      <c r="AL33" t="s">
        <v>113</v>
      </c>
      <c r="AM33" s="6">
        <v>1378.46</v>
      </c>
      <c r="AN33" s="6">
        <v>3756.31</v>
      </c>
      <c r="AO33" s="6">
        <f t="shared" si="1"/>
        <v>137.846</v>
      </c>
      <c r="AP33" s="6">
        <f t="shared" si="2"/>
        <v>41.3538</v>
      </c>
      <c r="AQ33" s="6">
        <f t="shared" si="3"/>
        <v>1557.6598000000001</v>
      </c>
      <c r="AR33">
        <v>501</v>
      </c>
      <c r="AS33" s="6">
        <f>AQ33*1.045</f>
        <v>1627.7544909999999</v>
      </c>
      <c r="AT33" s="6">
        <v>0</v>
      </c>
      <c r="AU33" s="6">
        <f>AS33*1.2</f>
        <v>1953.3053891999998</v>
      </c>
      <c r="AV33" s="6">
        <v>485.67</v>
      </c>
      <c r="AW33" s="6">
        <v>2126.44</v>
      </c>
      <c r="AX33" t="s">
        <v>118</v>
      </c>
      <c r="AY33" t="s">
        <v>493</v>
      </c>
      <c r="AZ33" s="3">
        <v>843141000000</v>
      </c>
      <c r="BA33" t="s">
        <v>169</v>
      </c>
      <c r="BB33" t="s">
        <v>343</v>
      </c>
      <c r="BC33" t="s">
        <v>112</v>
      </c>
      <c r="BD33">
        <v>13</v>
      </c>
      <c r="BE33">
        <v>192</v>
      </c>
      <c r="BF33">
        <v>197</v>
      </c>
      <c r="BG33" t="s">
        <v>113</v>
      </c>
      <c r="BH33" s="6">
        <v>1314.07</v>
      </c>
      <c r="BI33" s="6">
        <v>3756.31</v>
      </c>
      <c r="BJ33" s="6">
        <f t="shared" si="4"/>
        <v>131.40700000000001</v>
      </c>
      <c r="BK33" s="6">
        <f t="shared" si="5"/>
        <v>39.422099999999993</v>
      </c>
      <c r="BL33" s="6">
        <f t="shared" si="6"/>
        <v>1484.8990999999999</v>
      </c>
      <c r="BM33" s="6">
        <v>501</v>
      </c>
      <c r="BN33" s="6">
        <f>BL33*1.02</f>
        <v>1514.5970819999998</v>
      </c>
      <c r="BO33" s="6">
        <v>0</v>
      </c>
      <c r="BP33" s="6">
        <f t="shared" si="18"/>
        <v>1817.5164983999996</v>
      </c>
      <c r="BQ33" s="6">
        <f t="shared" si="7"/>
        <v>332.61739839999973</v>
      </c>
      <c r="BR33" s="6">
        <f t="shared" si="8"/>
        <v>1817.5164983999996</v>
      </c>
      <c r="BS33" t="s">
        <v>118</v>
      </c>
      <c r="BT33" t="s">
        <v>494</v>
      </c>
      <c r="BU33" s="3">
        <v>850421000000</v>
      </c>
      <c r="BV33" t="s">
        <v>171</v>
      </c>
      <c r="BW33" t="s">
        <v>343</v>
      </c>
      <c r="BX33" t="s">
        <v>112</v>
      </c>
      <c r="BY33">
        <v>6</v>
      </c>
      <c r="BZ33">
        <v>192</v>
      </c>
      <c r="CA33">
        <v>197</v>
      </c>
      <c r="CB33" t="s">
        <v>113</v>
      </c>
      <c r="CC33" s="6">
        <v>1063.78</v>
      </c>
      <c r="CD33" s="6">
        <v>3756.31</v>
      </c>
      <c r="CE33" s="6">
        <f t="shared" si="9"/>
        <v>106.378</v>
      </c>
      <c r="CF33" s="6">
        <f t="shared" si="10"/>
        <v>31.913399999999999</v>
      </c>
      <c r="CG33" s="6">
        <f t="shared" si="11"/>
        <v>1202.0713999999998</v>
      </c>
      <c r="CH33" s="6">
        <v>501</v>
      </c>
      <c r="CI33" s="6">
        <f>CG33*1.02</f>
        <v>1226.1128279999998</v>
      </c>
      <c r="CJ33" s="6">
        <v>0</v>
      </c>
      <c r="CK33" s="6">
        <f>CI33*1.2</f>
        <v>1471.3353935999996</v>
      </c>
      <c r="CL33" s="6">
        <f t="shared" si="12"/>
        <v>269.26399359999982</v>
      </c>
      <c r="CM33" s="6">
        <f t="shared" si="13"/>
        <v>1471.3353935999996</v>
      </c>
      <c r="CN33" t="s">
        <v>118</v>
      </c>
      <c r="CO33" t="s">
        <v>495</v>
      </c>
      <c r="CP33">
        <f t="shared" ca="1" si="14"/>
        <v>0.53133167282023652</v>
      </c>
      <c r="CQ33">
        <v>1</v>
      </c>
      <c r="CR33" s="10" t="str">
        <f t="shared" si="15"/>
        <v>20.12.2025 22:00</v>
      </c>
    </row>
    <row r="34" spans="1:96" x14ac:dyDescent="0.35">
      <c r="A34">
        <v>1222603039</v>
      </c>
      <c r="B34" t="s">
        <v>404</v>
      </c>
      <c r="C34" t="s">
        <v>473</v>
      </c>
      <c r="D34" t="s">
        <v>93</v>
      </c>
      <c r="E34">
        <v>4000</v>
      </c>
      <c r="F34" t="s">
        <v>94</v>
      </c>
      <c r="G34" t="s">
        <v>95</v>
      </c>
      <c r="H34" t="s">
        <v>96</v>
      </c>
      <c r="I34" t="s">
        <v>313</v>
      </c>
      <c r="J34" t="s">
        <v>176</v>
      </c>
      <c r="K34" s="6">
        <f t="shared" ref="K34:K57" si="19">AW34+BR34+CM34</f>
        <v>3925.2565242000001</v>
      </c>
      <c r="L34" t="s">
        <v>99</v>
      </c>
      <c r="M34" t="s">
        <v>100</v>
      </c>
      <c r="N34" t="s">
        <v>314</v>
      </c>
      <c r="O34" t="s">
        <v>96</v>
      </c>
      <c r="P34" t="s">
        <v>96</v>
      </c>
      <c r="Q34" t="s">
        <v>474</v>
      </c>
      <c r="R34" t="s">
        <v>96</v>
      </c>
      <c r="S34" t="s">
        <v>104</v>
      </c>
      <c r="T34">
        <v>0</v>
      </c>
      <c r="U34">
        <v>30</v>
      </c>
      <c r="V34">
        <v>30</v>
      </c>
      <c r="W34" t="s">
        <v>105</v>
      </c>
      <c r="X34" t="s">
        <v>106</v>
      </c>
      <c r="Y34" t="s">
        <v>107</v>
      </c>
      <c r="Z34" t="s">
        <v>108</v>
      </c>
      <c r="AA34">
        <v>558</v>
      </c>
      <c r="AB34">
        <v>573</v>
      </c>
      <c r="AC34" t="s">
        <v>109</v>
      </c>
      <c r="AD34" t="s">
        <v>468</v>
      </c>
      <c r="AE34" s="3">
        <v>292241000000</v>
      </c>
      <c r="AF34" t="s">
        <v>129</v>
      </c>
      <c r="AG34" t="s">
        <v>316</v>
      </c>
      <c r="AH34" t="s">
        <v>112</v>
      </c>
      <c r="AI34">
        <v>11</v>
      </c>
      <c r="AJ34">
        <v>186</v>
      </c>
      <c r="AK34">
        <v>191</v>
      </c>
      <c r="AL34" t="s">
        <v>113</v>
      </c>
      <c r="AM34" s="6">
        <v>1002.34</v>
      </c>
      <c r="AN34" s="6">
        <v>2778.43</v>
      </c>
      <c r="AO34" s="6">
        <f t="shared" ref="AO34:AO57" si="20">AM34*0.1</f>
        <v>100.23400000000001</v>
      </c>
      <c r="AP34" s="6">
        <f t="shared" ref="AP34:AP57" si="21">AM34*0.03</f>
        <v>30.0702</v>
      </c>
      <c r="AQ34" s="6">
        <f t="shared" ref="AQ34:AQ57" si="22">AM34+AO34+AP34</f>
        <v>1132.6442000000002</v>
      </c>
      <c r="AR34">
        <v>501</v>
      </c>
      <c r="AS34" s="6">
        <f>AQ34*1.05</f>
        <v>1189.2764100000002</v>
      </c>
      <c r="AT34" s="6">
        <v>0</v>
      </c>
      <c r="AU34" s="6">
        <f>AS34*1.2</f>
        <v>1427.1316920000002</v>
      </c>
      <c r="AV34" s="6">
        <f>AU34-AQ34</f>
        <v>294.48749199999997</v>
      </c>
      <c r="AW34" s="6">
        <f>AU34</f>
        <v>1427.1316920000002</v>
      </c>
      <c r="AX34" t="s">
        <v>118</v>
      </c>
      <c r="AY34" t="s">
        <v>475</v>
      </c>
      <c r="AZ34" s="3">
        <v>390110900000</v>
      </c>
      <c r="BA34" t="s">
        <v>131</v>
      </c>
      <c r="BB34" t="s">
        <v>316</v>
      </c>
      <c r="BC34" t="s">
        <v>117</v>
      </c>
      <c r="BD34">
        <v>7</v>
      </c>
      <c r="BE34">
        <v>186</v>
      </c>
      <c r="BF34">
        <v>191</v>
      </c>
      <c r="BG34" t="s">
        <v>113</v>
      </c>
      <c r="BH34" s="6">
        <v>1018.23</v>
      </c>
      <c r="BI34" s="6">
        <v>2778.43</v>
      </c>
      <c r="BJ34" s="6">
        <f t="shared" ref="BJ34:BJ57" si="23">BH34*0.1</f>
        <v>101.82300000000001</v>
      </c>
      <c r="BK34" s="6">
        <f t="shared" ref="BK34:BK57" si="24">BH34*0.03</f>
        <v>30.546900000000001</v>
      </c>
      <c r="BL34" s="6">
        <f t="shared" ref="BL34:BL57" si="25">BH34+BJ34+BK34</f>
        <v>1150.5999000000002</v>
      </c>
      <c r="BM34" s="6">
        <v>501</v>
      </c>
      <c r="BN34" s="6">
        <f>BL34*1.065</f>
        <v>1225.3888935000002</v>
      </c>
      <c r="BO34" s="6">
        <v>0</v>
      </c>
      <c r="BP34" s="6">
        <f t="shared" si="18"/>
        <v>1470.4666722000002</v>
      </c>
      <c r="BQ34" s="6">
        <f t="shared" ref="BQ34:BQ57" si="26">BP34-BL34</f>
        <v>319.86677220000001</v>
      </c>
      <c r="BR34" s="6">
        <f t="shared" ref="BR34:BR57" si="27">BP34</f>
        <v>1470.4666722000002</v>
      </c>
      <c r="BS34" t="s">
        <v>118</v>
      </c>
      <c r="BT34" t="s">
        <v>476</v>
      </c>
      <c r="BU34" s="3">
        <v>310210100000</v>
      </c>
      <c r="BV34" t="s">
        <v>133</v>
      </c>
      <c r="BW34" t="s">
        <v>316</v>
      </c>
      <c r="BX34" t="s">
        <v>117</v>
      </c>
      <c r="BY34">
        <v>20</v>
      </c>
      <c r="BZ34">
        <v>186</v>
      </c>
      <c r="CA34">
        <v>191</v>
      </c>
      <c r="CB34" t="s">
        <v>113</v>
      </c>
      <c r="CC34" s="6">
        <v>757.86</v>
      </c>
      <c r="CD34" s="6">
        <v>2778.43</v>
      </c>
      <c r="CE34" s="6">
        <f t="shared" ref="CE34:CE57" si="28">CC34*0.1</f>
        <v>75.786000000000001</v>
      </c>
      <c r="CF34" s="6">
        <f t="shared" ref="CF34:CF57" si="29">CC34*0.03</f>
        <v>22.735800000000001</v>
      </c>
      <c r="CG34" s="6">
        <f t="shared" ref="CG34:CG57" si="30">CC34+CE34+CF34</f>
        <v>856.3818</v>
      </c>
      <c r="CH34" s="6">
        <v>501</v>
      </c>
      <c r="CI34" s="6">
        <v>0</v>
      </c>
      <c r="CJ34" s="6">
        <v>0</v>
      </c>
      <c r="CK34" s="6">
        <f>CG34*1.2</f>
        <v>1027.65816</v>
      </c>
      <c r="CL34" s="6">
        <f t="shared" ref="CL34:CL57" si="31">CK34-CG34</f>
        <v>171.27635999999995</v>
      </c>
      <c r="CM34" s="6">
        <f t="shared" ref="CM34:CM57" si="32">CK34</f>
        <v>1027.65816</v>
      </c>
      <c r="CN34" t="s">
        <v>118</v>
      </c>
      <c r="CO34" t="s">
        <v>477</v>
      </c>
      <c r="CP34">
        <f t="shared" ref="CP34:CP57" ca="1" si="33">RAND()</f>
        <v>0.29292242005083979</v>
      </c>
      <c r="CQ34">
        <v>1</v>
      </c>
      <c r="CR34" s="10" t="str">
        <f t="shared" si="15"/>
        <v>20.12.2025 22:00</v>
      </c>
    </row>
    <row r="35" spans="1:96" x14ac:dyDescent="0.35">
      <c r="A35">
        <v>1222603042</v>
      </c>
      <c r="B35" t="s">
        <v>410</v>
      </c>
      <c r="C35" t="s">
        <v>257</v>
      </c>
      <c r="D35" t="s">
        <v>93</v>
      </c>
      <c r="E35">
        <v>4000</v>
      </c>
      <c r="F35" t="s">
        <v>94</v>
      </c>
      <c r="G35" t="s">
        <v>95</v>
      </c>
      <c r="H35" t="s">
        <v>96</v>
      </c>
      <c r="I35" t="s">
        <v>258</v>
      </c>
      <c r="J35" t="s">
        <v>176</v>
      </c>
      <c r="K35" s="6">
        <f t="shared" si="19"/>
        <v>38570.332081199995</v>
      </c>
      <c r="L35" t="s">
        <v>99</v>
      </c>
      <c r="M35" t="s">
        <v>100</v>
      </c>
      <c r="N35" t="s">
        <v>259</v>
      </c>
      <c r="O35" t="s">
        <v>96</v>
      </c>
      <c r="P35" t="s">
        <v>96</v>
      </c>
      <c r="Q35" t="s">
        <v>260</v>
      </c>
      <c r="R35" t="s">
        <v>261</v>
      </c>
      <c r="S35" t="s">
        <v>104</v>
      </c>
      <c r="T35">
        <v>0</v>
      </c>
      <c r="U35">
        <v>30</v>
      </c>
      <c r="V35">
        <v>30</v>
      </c>
      <c r="W35" t="s">
        <v>105</v>
      </c>
      <c r="X35" t="s">
        <v>106</v>
      </c>
      <c r="Y35" t="s">
        <v>107</v>
      </c>
      <c r="Z35" t="s">
        <v>108</v>
      </c>
      <c r="AA35">
        <v>378</v>
      </c>
      <c r="AB35">
        <v>393</v>
      </c>
      <c r="AC35" t="s">
        <v>109</v>
      </c>
      <c r="AD35" t="s">
        <v>110</v>
      </c>
      <c r="AE35" s="3">
        <v>870323190000</v>
      </c>
      <c r="AF35" t="s">
        <v>194</v>
      </c>
      <c r="AG35" t="s">
        <v>261</v>
      </c>
      <c r="AH35" t="s">
        <v>195</v>
      </c>
      <c r="AI35">
        <v>13</v>
      </c>
      <c r="AJ35">
        <v>126</v>
      </c>
      <c r="AK35">
        <v>131</v>
      </c>
      <c r="AL35" t="s">
        <v>113</v>
      </c>
      <c r="AM35" s="6">
        <v>6807.54</v>
      </c>
      <c r="AN35" s="6">
        <f>AM35*1.08</f>
        <v>7352.1432000000004</v>
      </c>
      <c r="AO35" s="6">
        <f t="shared" si="20"/>
        <v>680.75400000000002</v>
      </c>
      <c r="AP35" s="6">
        <f t="shared" si="21"/>
        <v>204.22619999999998</v>
      </c>
      <c r="AQ35" s="6">
        <f t="shared" si="22"/>
        <v>7692.5201999999999</v>
      </c>
      <c r="AR35">
        <v>602</v>
      </c>
      <c r="AS35" s="6">
        <f>AQ35*1.1</f>
        <v>8461.7722200000007</v>
      </c>
      <c r="AT35" s="6">
        <f>AS35*1.8</f>
        <v>15231.189996000001</v>
      </c>
      <c r="AU35" s="6">
        <f>AT35*1.2</f>
        <v>18277.4279952</v>
      </c>
      <c r="AV35" s="6">
        <f>AU35-AQ35</f>
        <v>10584.907795200001</v>
      </c>
      <c r="AW35" s="6">
        <f>AU35</f>
        <v>18277.4279952</v>
      </c>
      <c r="AX35" t="s">
        <v>118</v>
      </c>
      <c r="AY35" t="s">
        <v>262</v>
      </c>
      <c r="AZ35" s="3">
        <v>842720000000</v>
      </c>
      <c r="BA35" t="s">
        <v>197</v>
      </c>
      <c r="BB35" t="s">
        <v>261</v>
      </c>
      <c r="BC35" t="s">
        <v>195</v>
      </c>
      <c r="BD35">
        <v>16</v>
      </c>
      <c r="BE35">
        <v>126</v>
      </c>
      <c r="BF35">
        <v>131</v>
      </c>
      <c r="BG35" t="s">
        <v>113</v>
      </c>
      <c r="BH35" s="6">
        <v>6164.63</v>
      </c>
      <c r="BI35" s="6">
        <f>BH35*1.08</f>
        <v>6657.800400000001</v>
      </c>
      <c r="BJ35" s="6">
        <f t="shared" si="23"/>
        <v>616.46300000000008</v>
      </c>
      <c r="BK35" s="6">
        <f t="shared" si="24"/>
        <v>184.93889999999999</v>
      </c>
      <c r="BL35" s="6">
        <f t="shared" si="25"/>
        <v>6966.0319</v>
      </c>
      <c r="BM35" s="6">
        <v>501</v>
      </c>
      <c r="BN35" s="6">
        <f>BL35*1.05</f>
        <v>7314.3334949999999</v>
      </c>
      <c r="BO35" s="6">
        <v>0</v>
      </c>
      <c r="BP35" s="6">
        <f t="shared" si="18"/>
        <v>8777.2001939999991</v>
      </c>
      <c r="BQ35" s="6">
        <f t="shared" si="26"/>
        <v>1811.1682939999992</v>
      </c>
      <c r="BR35" s="6">
        <f t="shared" si="27"/>
        <v>8777.2001939999991</v>
      </c>
      <c r="BS35" t="s">
        <v>118</v>
      </c>
      <c r="BT35" t="s">
        <v>263</v>
      </c>
      <c r="BU35" s="3">
        <v>640399930000</v>
      </c>
      <c r="BV35" t="s">
        <v>199</v>
      </c>
      <c r="BW35" t="s">
        <v>261</v>
      </c>
      <c r="BX35" t="s">
        <v>112</v>
      </c>
      <c r="BY35">
        <v>16</v>
      </c>
      <c r="BZ35">
        <v>126</v>
      </c>
      <c r="CA35">
        <v>131</v>
      </c>
      <c r="CB35" t="s">
        <v>113</v>
      </c>
      <c r="CC35" s="6">
        <v>7720.37</v>
      </c>
      <c r="CD35" s="6">
        <f>CC35*1.08</f>
        <v>8337.999600000001</v>
      </c>
      <c r="CE35" s="6">
        <f t="shared" si="28"/>
        <v>772.03700000000003</v>
      </c>
      <c r="CF35" s="6">
        <f t="shared" si="29"/>
        <v>231.61109999999999</v>
      </c>
      <c r="CG35" s="6">
        <f t="shared" si="30"/>
        <v>8724.0180999999993</v>
      </c>
      <c r="CH35" s="6">
        <v>101</v>
      </c>
      <c r="CI35" s="6">
        <f>CG35*1.1</f>
        <v>9596.4199100000005</v>
      </c>
      <c r="CJ35" s="6">
        <v>0</v>
      </c>
      <c r="CK35" s="6">
        <f>CI35*1.2</f>
        <v>11515.703892</v>
      </c>
      <c r="CL35" s="6">
        <f t="shared" si="31"/>
        <v>2791.6857920000002</v>
      </c>
      <c r="CM35" s="6">
        <f t="shared" si="32"/>
        <v>11515.703892</v>
      </c>
      <c r="CN35" t="s">
        <v>118</v>
      </c>
      <c r="CO35" t="s">
        <v>264</v>
      </c>
      <c r="CP35">
        <f t="shared" ca="1" si="33"/>
        <v>6.9915721885898119E-3</v>
      </c>
      <c r="CQ35">
        <v>1</v>
      </c>
      <c r="CR35" s="10" t="str">
        <f t="shared" si="15"/>
        <v>20.12.2025 22:00</v>
      </c>
    </row>
    <row r="36" spans="1:96" x14ac:dyDescent="0.35">
      <c r="A36">
        <v>1222603043</v>
      </c>
      <c r="B36" t="s">
        <v>416</v>
      </c>
      <c r="C36" t="s">
        <v>174</v>
      </c>
      <c r="D36" t="s">
        <v>93</v>
      </c>
      <c r="E36">
        <v>4000</v>
      </c>
      <c r="F36" t="s">
        <v>94</v>
      </c>
      <c r="G36" t="s">
        <v>95</v>
      </c>
      <c r="H36" t="s">
        <v>96</v>
      </c>
      <c r="I36" t="s">
        <v>175</v>
      </c>
      <c r="J36" t="s">
        <v>176</v>
      </c>
      <c r="K36" s="6">
        <f t="shared" si="19"/>
        <v>3370.9346400000004</v>
      </c>
      <c r="L36" t="s">
        <v>99</v>
      </c>
      <c r="M36" t="s">
        <v>100</v>
      </c>
      <c r="N36" t="s">
        <v>177</v>
      </c>
      <c r="O36" t="s">
        <v>96</v>
      </c>
      <c r="P36" t="s">
        <v>96</v>
      </c>
      <c r="Q36" t="s">
        <v>178</v>
      </c>
      <c r="R36" t="s">
        <v>179</v>
      </c>
      <c r="S36" t="s">
        <v>104</v>
      </c>
      <c r="T36">
        <v>0</v>
      </c>
      <c r="U36">
        <v>30</v>
      </c>
      <c r="V36">
        <v>30</v>
      </c>
      <c r="W36" t="s">
        <v>105</v>
      </c>
      <c r="X36" t="s">
        <v>106</v>
      </c>
      <c r="Y36" t="s">
        <v>107</v>
      </c>
      <c r="Z36" t="s">
        <v>108</v>
      </c>
      <c r="AA36">
        <v>330</v>
      </c>
      <c r="AB36">
        <v>345</v>
      </c>
      <c r="AC36" t="s">
        <v>109</v>
      </c>
      <c r="AD36" t="s">
        <v>180</v>
      </c>
      <c r="AE36" s="3">
        <v>940360100000</v>
      </c>
      <c r="AF36" t="s">
        <v>181</v>
      </c>
      <c r="AG36" t="s">
        <v>179</v>
      </c>
      <c r="AH36" t="s">
        <v>182</v>
      </c>
      <c r="AI36">
        <v>14</v>
      </c>
      <c r="AJ36">
        <v>110</v>
      </c>
      <c r="AK36">
        <v>115</v>
      </c>
      <c r="AL36" t="s">
        <v>113</v>
      </c>
      <c r="AM36" s="6">
        <v>951.57</v>
      </c>
      <c r="AN36" s="6">
        <v>2485.94</v>
      </c>
      <c r="AO36" s="6">
        <f t="shared" si="20"/>
        <v>95.157000000000011</v>
      </c>
      <c r="AP36" s="6">
        <f t="shared" si="21"/>
        <v>28.5471</v>
      </c>
      <c r="AQ36" s="6">
        <f t="shared" si="22"/>
        <v>1075.2741000000001</v>
      </c>
      <c r="AR36">
        <v>501</v>
      </c>
      <c r="AS36" s="6">
        <v>0</v>
      </c>
      <c r="AT36" s="6">
        <v>0</v>
      </c>
      <c r="AU36" s="6">
        <f>AQ36*1.2</f>
        <v>1290.3289200000002</v>
      </c>
      <c r="AV36" s="6">
        <f>AU36-AQ36</f>
        <v>215.05482000000006</v>
      </c>
      <c r="AW36" s="6">
        <f>AU36</f>
        <v>1290.3289200000002</v>
      </c>
      <c r="AX36" t="s">
        <v>114</v>
      </c>
      <c r="AY36" t="s">
        <v>183</v>
      </c>
      <c r="AZ36" s="3">
        <v>440711100000</v>
      </c>
      <c r="BA36" t="s">
        <v>184</v>
      </c>
      <c r="BB36" t="s">
        <v>179</v>
      </c>
      <c r="BC36" t="s">
        <v>103</v>
      </c>
      <c r="BD36">
        <v>9</v>
      </c>
      <c r="BE36">
        <v>110</v>
      </c>
      <c r="BF36">
        <v>115</v>
      </c>
      <c r="BG36" t="s">
        <v>113</v>
      </c>
      <c r="BH36" s="6">
        <v>745.67</v>
      </c>
      <c r="BI36" s="6">
        <v>2485.94</v>
      </c>
      <c r="BJ36" s="6">
        <f t="shared" si="23"/>
        <v>74.566999999999993</v>
      </c>
      <c r="BK36" s="6">
        <f t="shared" si="24"/>
        <v>22.370099999999997</v>
      </c>
      <c r="BL36" s="6">
        <f t="shared" si="25"/>
        <v>842.60709999999995</v>
      </c>
      <c r="BM36" s="6">
        <v>501</v>
      </c>
      <c r="BN36" s="6">
        <v>0</v>
      </c>
      <c r="BO36" s="6">
        <v>0</v>
      </c>
      <c r="BP36" s="6">
        <f>BL36*1.2</f>
        <v>1011.1285199999999</v>
      </c>
      <c r="BQ36" s="6">
        <f t="shared" si="26"/>
        <v>168.52141999999992</v>
      </c>
      <c r="BR36" s="6">
        <f t="shared" si="27"/>
        <v>1011.1285199999999</v>
      </c>
      <c r="BS36" t="s">
        <v>114</v>
      </c>
      <c r="BT36" t="s">
        <v>185</v>
      </c>
      <c r="BU36" s="3">
        <v>690721000000</v>
      </c>
      <c r="BV36" t="s">
        <v>186</v>
      </c>
      <c r="BW36" t="s">
        <v>179</v>
      </c>
      <c r="BX36" t="s">
        <v>112</v>
      </c>
      <c r="BY36">
        <v>16</v>
      </c>
      <c r="BZ36">
        <v>110</v>
      </c>
      <c r="CA36">
        <v>115</v>
      </c>
      <c r="CB36" t="s">
        <v>113</v>
      </c>
      <c r="CC36" s="6">
        <v>788.7</v>
      </c>
      <c r="CD36" s="6">
        <v>2485.94</v>
      </c>
      <c r="CE36" s="6">
        <f t="shared" si="28"/>
        <v>78.87</v>
      </c>
      <c r="CF36" s="6">
        <f t="shared" si="29"/>
        <v>23.661000000000001</v>
      </c>
      <c r="CG36" s="6">
        <f t="shared" si="30"/>
        <v>891.23099999999999</v>
      </c>
      <c r="CH36" s="6">
        <v>501</v>
      </c>
      <c r="CI36" s="6">
        <v>0</v>
      </c>
      <c r="CJ36" s="6">
        <v>0</v>
      </c>
      <c r="CK36" s="6">
        <f>CG36*1.2</f>
        <v>1069.4772</v>
      </c>
      <c r="CL36" s="6">
        <f t="shared" si="31"/>
        <v>178.24620000000004</v>
      </c>
      <c r="CM36" s="6">
        <f t="shared" si="32"/>
        <v>1069.4772</v>
      </c>
      <c r="CN36" t="s">
        <v>114</v>
      </c>
      <c r="CO36" t="s">
        <v>187</v>
      </c>
      <c r="CP36">
        <f t="shared" ca="1" si="33"/>
        <v>6.5459961531728617E-2</v>
      </c>
      <c r="CQ36">
        <v>1</v>
      </c>
      <c r="CR36" s="10" t="str">
        <f t="shared" si="15"/>
        <v>20.12.2025 22:00</v>
      </c>
    </row>
    <row r="37" spans="1:96" x14ac:dyDescent="0.35">
      <c r="A37">
        <v>1222603044</v>
      </c>
      <c r="B37" t="s">
        <v>422</v>
      </c>
      <c r="C37" t="s">
        <v>303</v>
      </c>
      <c r="D37" t="s">
        <v>93</v>
      </c>
      <c r="E37">
        <v>4000</v>
      </c>
      <c r="F37" t="s">
        <v>94</v>
      </c>
      <c r="G37" t="s">
        <v>95</v>
      </c>
      <c r="H37" t="s">
        <v>96</v>
      </c>
      <c r="I37" t="s">
        <v>304</v>
      </c>
      <c r="J37" t="s">
        <v>176</v>
      </c>
      <c r="K37" s="6">
        <f t="shared" si="19"/>
        <v>5392.7970248000001</v>
      </c>
      <c r="L37" t="s">
        <v>99</v>
      </c>
      <c r="M37" t="s">
        <v>100</v>
      </c>
      <c r="N37" t="s">
        <v>305</v>
      </c>
      <c r="O37" t="s">
        <v>96</v>
      </c>
      <c r="P37" t="s">
        <v>96</v>
      </c>
      <c r="Q37" t="s">
        <v>306</v>
      </c>
      <c r="R37" t="s">
        <v>307</v>
      </c>
      <c r="S37" t="s">
        <v>104</v>
      </c>
      <c r="T37">
        <v>0</v>
      </c>
      <c r="U37">
        <v>30</v>
      </c>
      <c r="V37">
        <v>30</v>
      </c>
      <c r="W37" t="s">
        <v>105</v>
      </c>
      <c r="X37" t="s">
        <v>106</v>
      </c>
      <c r="Y37" t="s">
        <v>107</v>
      </c>
      <c r="Z37" t="s">
        <v>108</v>
      </c>
      <c r="AA37">
        <v>408</v>
      </c>
      <c r="AB37">
        <v>423</v>
      </c>
      <c r="AC37" t="s">
        <v>109</v>
      </c>
      <c r="AD37" t="s">
        <v>207</v>
      </c>
      <c r="AE37" s="3">
        <v>401110000000</v>
      </c>
      <c r="AF37" t="s">
        <v>167</v>
      </c>
      <c r="AG37" t="s">
        <v>307</v>
      </c>
      <c r="AH37" t="s">
        <v>112</v>
      </c>
      <c r="AI37">
        <v>8</v>
      </c>
      <c r="AJ37">
        <v>136</v>
      </c>
      <c r="AK37">
        <v>141</v>
      </c>
      <c r="AL37" t="s">
        <v>113</v>
      </c>
      <c r="AM37" s="6">
        <v>1294.6199999999999</v>
      </c>
      <c r="AN37" s="6">
        <v>3485.91</v>
      </c>
      <c r="AO37" s="6">
        <f t="shared" si="20"/>
        <v>129.46199999999999</v>
      </c>
      <c r="AP37" s="6">
        <f t="shared" si="21"/>
        <v>38.838599999999992</v>
      </c>
      <c r="AQ37" s="6">
        <f t="shared" si="22"/>
        <v>1462.9205999999999</v>
      </c>
      <c r="AR37">
        <v>501</v>
      </c>
      <c r="AS37" s="6">
        <f>AQ37*1.045</f>
        <v>1528.7520269999998</v>
      </c>
      <c r="AT37" s="6">
        <v>0</v>
      </c>
      <c r="AU37" s="6">
        <f>AS37*1.2</f>
        <v>1834.5024323999996</v>
      </c>
      <c r="AV37" s="6">
        <v>539.46</v>
      </c>
      <c r="AW37" s="6">
        <v>2361.98</v>
      </c>
      <c r="AX37" t="s">
        <v>118</v>
      </c>
      <c r="AY37" t="s">
        <v>308</v>
      </c>
      <c r="AZ37" s="3">
        <v>843141000000</v>
      </c>
      <c r="BA37" t="s">
        <v>169</v>
      </c>
      <c r="BB37" t="s">
        <v>307</v>
      </c>
      <c r="BC37" t="s">
        <v>112</v>
      </c>
      <c r="BD37">
        <v>18</v>
      </c>
      <c r="BE37">
        <v>136</v>
      </c>
      <c r="BF37">
        <v>141</v>
      </c>
      <c r="BG37" t="s">
        <v>113</v>
      </c>
      <c r="BH37" s="6">
        <v>1341.67</v>
      </c>
      <c r="BI37" s="6">
        <v>3485.91</v>
      </c>
      <c r="BJ37" s="6">
        <f t="shared" si="23"/>
        <v>134.167</v>
      </c>
      <c r="BK37" s="6">
        <f t="shared" si="24"/>
        <v>40.250100000000003</v>
      </c>
      <c r="BL37" s="6">
        <f t="shared" si="25"/>
        <v>1516.0871</v>
      </c>
      <c r="BM37" s="6">
        <v>501</v>
      </c>
      <c r="BN37" s="6">
        <f>BL37*1.02</f>
        <v>1546.408842</v>
      </c>
      <c r="BO37" s="6">
        <v>0</v>
      </c>
      <c r="BP37" s="6">
        <f>BN37*1.2</f>
        <v>1855.6906104</v>
      </c>
      <c r="BQ37" s="6">
        <f t="shared" si="26"/>
        <v>339.6035104</v>
      </c>
      <c r="BR37" s="6">
        <f t="shared" si="27"/>
        <v>1855.6906104</v>
      </c>
      <c r="BS37" t="s">
        <v>118</v>
      </c>
      <c r="BT37" t="s">
        <v>309</v>
      </c>
      <c r="BU37" s="3">
        <v>850421000000</v>
      </c>
      <c r="BV37" t="s">
        <v>171</v>
      </c>
      <c r="BW37" t="s">
        <v>307</v>
      </c>
      <c r="BX37" t="s">
        <v>112</v>
      </c>
      <c r="BY37">
        <v>14</v>
      </c>
      <c r="BZ37">
        <v>136</v>
      </c>
      <c r="CA37">
        <v>141</v>
      </c>
      <c r="CB37" t="s">
        <v>113</v>
      </c>
      <c r="CC37" s="6">
        <v>849.62</v>
      </c>
      <c r="CD37" s="6">
        <v>3485.91</v>
      </c>
      <c r="CE37" s="6">
        <f t="shared" si="28"/>
        <v>84.962000000000003</v>
      </c>
      <c r="CF37" s="6">
        <f t="shared" si="29"/>
        <v>25.488599999999998</v>
      </c>
      <c r="CG37" s="6">
        <f t="shared" si="30"/>
        <v>960.07060000000001</v>
      </c>
      <c r="CH37" s="6">
        <v>501</v>
      </c>
      <c r="CI37" s="6">
        <f>CG37*1.02</f>
        <v>979.27201200000002</v>
      </c>
      <c r="CJ37" s="6">
        <v>0</v>
      </c>
      <c r="CK37" s="6">
        <f>CI37*1.2</f>
        <v>1175.1264143999999</v>
      </c>
      <c r="CL37" s="6">
        <f t="shared" si="31"/>
        <v>215.05581439999992</v>
      </c>
      <c r="CM37" s="6">
        <f t="shared" si="32"/>
        <v>1175.1264143999999</v>
      </c>
      <c r="CN37" t="s">
        <v>118</v>
      </c>
      <c r="CO37" t="s">
        <v>310</v>
      </c>
      <c r="CP37">
        <f t="shared" ca="1" si="33"/>
        <v>4.2901923480578308E-2</v>
      </c>
      <c r="CQ37">
        <v>1</v>
      </c>
      <c r="CR37" s="10" t="str">
        <f t="shared" si="15"/>
        <v>20.12.2025 22:00</v>
      </c>
    </row>
    <row r="38" spans="1:96" x14ac:dyDescent="0.35">
      <c r="A38">
        <v>1222603045</v>
      </c>
      <c r="B38" t="s">
        <v>429</v>
      </c>
      <c r="C38" t="s">
        <v>448</v>
      </c>
      <c r="D38" t="s">
        <v>93</v>
      </c>
      <c r="E38">
        <v>4000</v>
      </c>
      <c r="F38" t="s">
        <v>94</v>
      </c>
      <c r="G38" t="s">
        <v>95</v>
      </c>
      <c r="H38" t="s">
        <v>96</v>
      </c>
      <c r="I38" t="s">
        <v>276</v>
      </c>
      <c r="J38" t="s">
        <v>176</v>
      </c>
      <c r="K38" s="6">
        <f t="shared" si="19"/>
        <v>5275.1601872000001</v>
      </c>
      <c r="L38" t="s">
        <v>99</v>
      </c>
      <c r="M38" t="s">
        <v>100</v>
      </c>
      <c r="N38" t="s">
        <v>277</v>
      </c>
      <c r="O38" t="s">
        <v>96</v>
      </c>
      <c r="P38" t="s">
        <v>96</v>
      </c>
      <c r="Q38" t="s">
        <v>449</v>
      </c>
      <c r="R38" t="s">
        <v>96</v>
      </c>
      <c r="S38" t="s">
        <v>104</v>
      </c>
      <c r="T38">
        <v>0</v>
      </c>
      <c r="U38">
        <v>30</v>
      </c>
      <c r="V38">
        <v>30</v>
      </c>
      <c r="W38" t="s">
        <v>105</v>
      </c>
      <c r="X38" t="s">
        <v>106</v>
      </c>
      <c r="Y38" t="s">
        <v>107</v>
      </c>
      <c r="Z38" t="s">
        <v>108</v>
      </c>
      <c r="AA38">
        <v>534</v>
      </c>
      <c r="AB38">
        <v>549</v>
      </c>
      <c r="AC38" t="s">
        <v>109</v>
      </c>
      <c r="AD38" t="s">
        <v>180</v>
      </c>
      <c r="AE38" s="3">
        <v>401110000000</v>
      </c>
      <c r="AF38" t="s">
        <v>167</v>
      </c>
      <c r="AG38" t="s">
        <v>279</v>
      </c>
      <c r="AH38" t="s">
        <v>112</v>
      </c>
      <c r="AI38">
        <v>6</v>
      </c>
      <c r="AJ38">
        <v>178</v>
      </c>
      <c r="AK38">
        <v>183</v>
      </c>
      <c r="AL38" t="s">
        <v>113</v>
      </c>
      <c r="AM38" s="6">
        <v>1117.07</v>
      </c>
      <c r="AN38" s="6">
        <v>3302.13</v>
      </c>
      <c r="AO38" s="6">
        <f t="shared" si="20"/>
        <v>111.70699999999999</v>
      </c>
      <c r="AP38" s="6">
        <f t="shared" si="21"/>
        <v>33.512099999999997</v>
      </c>
      <c r="AQ38" s="6">
        <f t="shared" si="22"/>
        <v>1262.2891</v>
      </c>
      <c r="AR38">
        <v>501</v>
      </c>
      <c r="AS38" s="6">
        <f>AQ38*1.045</f>
        <v>1319.0921094999999</v>
      </c>
      <c r="AT38" s="6">
        <v>0</v>
      </c>
      <c r="AU38" s="6">
        <f>AS38*1.2</f>
        <v>1582.9105313999999</v>
      </c>
      <c r="AV38" s="6">
        <v>514.55999999999995</v>
      </c>
      <c r="AW38" s="6">
        <v>2252.96</v>
      </c>
      <c r="AX38" t="s">
        <v>118</v>
      </c>
      <c r="AY38" t="s">
        <v>450</v>
      </c>
      <c r="AZ38" s="3">
        <v>843141000000</v>
      </c>
      <c r="BA38" t="s">
        <v>169</v>
      </c>
      <c r="BB38" t="s">
        <v>279</v>
      </c>
      <c r="BC38" t="s">
        <v>112</v>
      </c>
      <c r="BD38">
        <v>12</v>
      </c>
      <c r="BE38">
        <v>178</v>
      </c>
      <c r="BF38">
        <v>183</v>
      </c>
      <c r="BG38" t="s">
        <v>113</v>
      </c>
      <c r="BH38" s="6">
        <v>1057.68</v>
      </c>
      <c r="BI38" s="6">
        <v>3302.13</v>
      </c>
      <c r="BJ38" s="6">
        <f t="shared" si="23"/>
        <v>105.76800000000001</v>
      </c>
      <c r="BK38" s="6">
        <f t="shared" si="24"/>
        <v>31.730399999999999</v>
      </c>
      <c r="BL38" s="6">
        <f t="shared" si="25"/>
        <v>1195.1784</v>
      </c>
      <c r="BM38" s="6">
        <v>501</v>
      </c>
      <c r="BN38" s="6">
        <f>BL38*1.02</f>
        <v>1219.081968</v>
      </c>
      <c r="BO38" s="6">
        <v>0</v>
      </c>
      <c r="BP38" s="6">
        <f>BN38*1.2</f>
        <v>1462.8983615999998</v>
      </c>
      <c r="BQ38" s="6">
        <f t="shared" si="26"/>
        <v>267.71996159999981</v>
      </c>
      <c r="BR38" s="6">
        <f t="shared" si="27"/>
        <v>1462.8983615999998</v>
      </c>
      <c r="BS38" t="s">
        <v>118</v>
      </c>
      <c r="BT38" t="s">
        <v>451</v>
      </c>
      <c r="BU38" s="3">
        <v>850421000000</v>
      </c>
      <c r="BV38" t="s">
        <v>171</v>
      </c>
      <c r="BW38" t="s">
        <v>279</v>
      </c>
      <c r="BX38" t="s">
        <v>112</v>
      </c>
      <c r="BY38">
        <v>12</v>
      </c>
      <c r="BZ38">
        <v>178</v>
      </c>
      <c r="CA38">
        <v>183</v>
      </c>
      <c r="CB38" t="s">
        <v>113</v>
      </c>
      <c r="CC38" s="6">
        <v>1127.3800000000001</v>
      </c>
      <c r="CD38" s="6">
        <v>3302.13</v>
      </c>
      <c r="CE38" s="6">
        <f t="shared" si="28"/>
        <v>112.73800000000001</v>
      </c>
      <c r="CF38" s="6">
        <f t="shared" si="29"/>
        <v>33.821400000000004</v>
      </c>
      <c r="CG38" s="6">
        <f t="shared" si="30"/>
        <v>1273.9394000000002</v>
      </c>
      <c r="CH38" s="6">
        <v>501</v>
      </c>
      <c r="CI38" s="6">
        <f>CG38*1.02</f>
        <v>1299.4181880000003</v>
      </c>
      <c r="CJ38" s="6">
        <v>0</v>
      </c>
      <c r="CK38" s="6">
        <f>CI38*1.2</f>
        <v>1559.3018256000003</v>
      </c>
      <c r="CL38" s="6">
        <f t="shared" si="31"/>
        <v>285.36242560000005</v>
      </c>
      <c r="CM38" s="6">
        <f t="shared" si="32"/>
        <v>1559.3018256000003</v>
      </c>
      <c r="CN38" t="s">
        <v>118</v>
      </c>
      <c r="CO38" t="s">
        <v>452</v>
      </c>
      <c r="CP38">
        <f t="shared" ca="1" si="33"/>
        <v>0.91385261156435083</v>
      </c>
      <c r="CQ38">
        <v>1</v>
      </c>
      <c r="CR38" s="10" t="str">
        <f t="shared" si="15"/>
        <v>20.12.2025 22:00</v>
      </c>
    </row>
    <row r="39" spans="1:96" x14ac:dyDescent="0.35">
      <c r="A39">
        <v>1222603046</v>
      </c>
      <c r="B39" t="s">
        <v>435</v>
      </c>
      <c r="C39" t="s">
        <v>485</v>
      </c>
      <c r="D39" t="s">
        <v>93</v>
      </c>
      <c r="E39">
        <v>4000</v>
      </c>
      <c r="F39" t="s">
        <v>94</v>
      </c>
      <c r="G39" t="s">
        <v>95</v>
      </c>
      <c r="H39" t="s">
        <v>96</v>
      </c>
      <c r="I39" t="s">
        <v>331</v>
      </c>
      <c r="J39" t="s">
        <v>176</v>
      </c>
      <c r="K39" s="6">
        <f t="shared" si="19"/>
        <v>7656.7048499999992</v>
      </c>
      <c r="L39" t="s">
        <v>99</v>
      </c>
      <c r="M39" t="s">
        <v>100</v>
      </c>
      <c r="N39" t="s">
        <v>332</v>
      </c>
      <c r="O39" t="s">
        <v>96</v>
      </c>
      <c r="P39" t="s">
        <v>96</v>
      </c>
      <c r="Q39" t="s">
        <v>486</v>
      </c>
      <c r="R39" t="s">
        <v>334</v>
      </c>
      <c r="S39" t="s">
        <v>104</v>
      </c>
      <c r="T39">
        <v>0</v>
      </c>
      <c r="U39">
        <v>30</v>
      </c>
      <c r="V39">
        <v>30</v>
      </c>
      <c r="W39" t="s">
        <v>105</v>
      </c>
      <c r="X39" t="s">
        <v>106</v>
      </c>
      <c r="Y39" t="s">
        <v>107</v>
      </c>
      <c r="Z39" t="s">
        <v>108</v>
      </c>
      <c r="AA39">
        <v>570</v>
      </c>
      <c r="AB39">
        <v>585</v>
      </c>
      <c r="AC39" t="s">
        <v>109</v>
      </c>
      <c r="AD39" t="s">
        <v>344</v>
      </c>
      <c r="AE39" s="3">
        <v>847130000000</v>
      </c>
      <c r="AF39" t="s">
        <v>154</v>
      </c>
      <c r="AG39" t="s">
        <v>334</v>
      </c>
      <c r="AH39" t="s">
        <v>112</v>
      </c>
      <c r="AI39">
        <v>5</v>
      </c>
      <c r="AJ39">
        <v>190</v>
      </c>
      <c r="AK39">
        <v>195</v>
      </c>
      <c r="AL39" t="s">
        <v>113</v>
      </c>
      <c r="AM39" s="6">
        <v>1323.26</v>
      </c>
      <c r="AN39" s="6">
        <v>4673.97</v>
      </c>
      <c r="AO39" s="6">
        <f t="shared" si="20"/>
        <v>132.32599999999999</v>
      </c>
      <c r="AP39" s="6">
        <f t="shared" si="21"/>
        <v>39.697800000000001</v>
      </c>
      <c r="AQ39" s="6">
        <f t="shared" si="22"/>
        <v>1495.2837999999999</v>
      </c>
      <c r="AR39">
        <v>501</v>
      </c>
      <c r="AS39" s="6">
        <v>0</v>
      </c>
      <c r="AT39" s="6">
        <v>0</v>
      </c>
      <c r="AU39" s="6">
        <f>AQ39*1.2</f>
        <v>1794.3405599999999</v>
      </c>
      <c r="AV39" s="6">
        <f t="shared" ref="AV39:AV44" si="34">AU39-AQ39</f>
        <v>299.05675999999994</v>
      </c>
      <c r="AW39" s="6">
        <f t="shared" ref="AW39:AW44" si="35">AU39</f>
        <v>1794.3405599999999</v>
      </c>
      <c r="AX39" t="s">
        <v>118</v>
      </c>
      <c r="AY39" t="s">
        <v>487</v>
      </c>
      <c r="AZ39" s="3">
        <v>851713000000</v>
      </c>
      <c r="BA39" t="s">
        <v>156</v>
      </c>
      <c r="BB39" t="s">
        <v>334</v>
      </c>
      <c r="BC39" t="s">
        <v>112</v>
      </c>
      <c r="BD39">
        <v>9</v>
      </c>
      <c r="BE39">
        <v>190</v>
      </c>
      <c r="BF39">
        <v>195</v>
      </c>
      <c r="BG39" t="s">
        <v>113</v>
      </c>
      <c r="BH39" s="6">
        <v>1788.96</v>
      </c>
      <c r="BI39" s="6">
        <v>4673.97</v>
      </c>
      <c r="BJ39" s="6">
        <f t="shared" si="23"/>
        <v>178.89600000000002</v>
      </c>
      <c r="BK39" s="6">
        <f t="shared" si="24"/>
        <v>53.668799999999997</v>
      </c>
      <c r="BL39" s="6">
        <f t="shared" si="25"/>
        <v>2021.5247999999999</v>
      </c>
      <c r="BM39" s="6">
        <v>602</v>
      </c>
      <c r="BN39" s="6">
        <v>0</v>
      </c>
      <c r="BO39" s="6">
        <f>BL39*1.5</f>
        <v>3032.2871999999998</v>
      </c>
      <c r="BP39" s="6">
        <f>BO39*1.2</f>
        <v>3638.7446399999994</v>
      </c>
      <c r="BQ39" s="6">
        <f t="shared" si="26"/>
        <v>1617.2198399999995</v>
      </c>
      <c r="BR39" s="6">
        <f t="shared" si="27"/>
        <v>3638.7446399999994</v>
      </c>
      <c r="BS39" t="s">
        <v>118</v>
      </c>
      <c r="BT39" t="s">
        <v>488</v>
      </c>
      <c r="BU39" s="3">
        <v>701349100000</v>
      </c>
      <c r="BV39" t="s">
        <v>158</v>
      </c>
      <c r="BW39" t="s">
        <v>334</v>
      </c>
      <c r="BX39" t="s">
        <v>112</v>
      </c>
      <c r="BY39">
        <v>9</v>
      </c>
      <c r="BZ39">
        <v>190</v>
      </c>
      <c r="CA39">
        <v>195</v>
      </c>
      <c r="CB39" t="s">
        <v>113</v>
      </c>
      <c r="CC39" s="6">
        <v>1561.75</v>
      </c>
      <c r="CD39" s="6">
        <v>4673.97</v>
      </c>
      <c r="CE39" s="6">
        <f t="shared" si="28"/>
        <v>156.17500000000001</v>
      </c>
      <c r="CF39" s="6">
        <f t="shared" si="29"/>
        <v>46.852499999999999</v>
      </c>
      <c r="CG39" s="6">
        <f t="shared" si="30"/>
        <v>1764.7774999999999</v>
      </c>
      <c r="CH39" s="6">
        <v>501</v>
      </c>
      <c r="CI39" s="6">
        <f>CG39*1.05</f>
        <v>1853.0163749999999</v>
      </c>
      <c r="CJ39" s="6">
        <v>0</v>
      </c>
      <c r="CK39" s="6">
        <f>CI39*1.2</f>
        <v>2223.6196499999996</v>
      </c>
      <c r="CL39" s="6">
        <f t="shared" si="31"/>
        <v>458.84214999999972</v>
      </c>
      <c r="CM39" s="6">
        <f t="shared" si="32"/>
        <v>2223.6196499999996</v>
      </c>
      <c r="CN39" t="s">
        <v>118</v>
      </c>
      <c r="CO39" t="s">
        <v>489</v>
      </c>
      <c r="CP39">
        <f t="shared" ca="1" si="33"/>
        <v>0.23537634527222184</v>
      </c>
      <c r="CQ39">
        <v>1</v>
      </c>
      <c r="CR39" s="10" t="str">
        <f t="shared" si="15"/>
        <v>20.12.2025 22:00</v>
      </c>
    </row>
    <row r="40" spans="1:96" x14ac:dyDescent="0.35">
      <c r="A40">
        <v>1222603047</v>
      </c>
      <c r="B40" t="s">
        <v>441</v>
      </c>
      <c r="C40" t="s">
        <v>399</v>
      </c>
      <c r="D40" t="s">
        <v>93</v>
      </c>
      <c r="E40">
        <v>4000</v>
      </c>
      <c r="F40" t="s">
        <v>94</v>
      </c>
      <c r="G40" t="s">
        <v>95</v>
      </c>
      <c r="H40" t="s">
        <v>96</v>
      </c>
      <c r="I40" t="s">
        <v>203</v>
      </c>
      <c r="J40" t="s">
        <v>98</v>
      </c>
      <c r="K40" s="6">
        <f t="shared" si="19"/>
        <v>8722.7547599999998</v>
      </c>
      <c r="L40" t="s">
        <v>99</v>
      </c>
      <c r="M40" t="s">
        <v>100</v>
      </c>
      <c r="N40" t="s">
        <v>204</v>
      </c>
      <c r="O40" t="s">
        <v>96</v>
      </c>
      <c r="P40" t="s">
        <v>96</v>
      </c>
      <c r="Q40" t="s">
        <v>400</v>
      </c>
      <c r="R40" t="s">
        <v>206</v>
      </c>
      <c r="S40" t="s">
        <v>104</v>
      </c>
      <c r="T40">
        <v>0</v>
      </c>
      <c r="U40">
        <v>30</v>
      </c>
      <c r="V40">
        <v>30</v>
      </c>
      <c r="W40" t="s">
        <v>105</v>
      </c>
      <c r="X40" t="s">
        <v>106</v>
      </c>
      <c r="Y40" t="s">
        <v>107</v>
      </c>
      <c r="Z40" t="s">
        <v>108</v>
      </c>
      <c r="AA40">
        <v>486</v>
      </c>
      <c r="AB40">
        <v>501</v>
      </c>
      <c r="AC40" t="s">
        <v>109</v>
      </c>
      <c r="AD40" t="s">
        <v>207</v>
      </c>
      <c r="AE40" s="3">
        <v>847130000000</v>
      </c>
      <c r="AF40" t="s">
        <v>154</v>
      </c>
      <c r="AG40" t="s">
        <v>206</v>
      </c>
      <c r="AH40" t="s">
        <v>112</v>
      </c>
      <c r="AI40">
        <v>10</v>
      </c>
      <c r="AJ40">
        <v>162</v>
      </c>
      <c r="AK40">
        <v>167</v>
      </c>
      <c r="AL40" t="s">
        <v>113</v>
      </c>
      <c r="AM40" s="6">
        <v>1961.54</v>
      </c>
      <c r="AN40" s="6">
        <f>AM40*1.08</f>
        <v>2118.4632000000001</v>
      </c>
      <c r="AO40" s="6">
        <f t="shared" si="20"/>
        <v>196.154</v>
      </c>
      <c r="AP40" s="6">
        <f t="shared" si="21"/>
        <v>58.846199999999996</v>
      </c>
      <c r="AQ40" s="6">
        <f t="shared" si="22"/>
        <v>2216.5401999999999</v>
      </c>
      <c r="AR40">
        <v>501</v>
      </c>
      <c r="AS40" s="6">
        <v>0</v>
      </c>
      <c r="AT40" s="6">
        <v>0</v>
      </c>
      <c r="AU40" s="6">
        <f>AQ40*1.2</f>
        <v>2659.8482399999998</v>
      </c>
      <c r="AV40" s="6">
        <f t="shared" si="34"/>
        <v>443.30803999999989</v>
      </c>
      <c r="AW40" s="6">
        <f t="shared" si="35"/>
        <v>2659.8482399999998</v>
      </c>
      <c r="AX40" t="s">
        <v>114</v>
      </c>
      <c r="AY40" t="s">
        <v>401</v>
      </c>
      <c r="AZ40" s="3">
        <v>851713000000</v>
      </c>
      <c r="BA40" t="s">
        <v>156</v>
      </c>
      <c r="BB40" t="s">
        <v>206</v>
      </c>
      <c r="BC40" t="s">
        <v>112</v>
      </c>
      <c r="BD40">
        <v>15</v>
      </c>
      <c r="BE40">
        <v>162</v>
      </c>
      <c r="BF40">
        <v>167</v>
      </c>
      <c r="BG40" t="s">
        <v>113</v>
      </c>
      <c r="BH40" s="6">
        <v>1751.9</v>
      </c>
      <c r="BI40" s="6">
        <f>BH40*1.08</f>
        <v>1892.0520000000001</v>
      </c>
      <c r="BJ40" s="6">
        <f t="shared" si="23"/>
        <v>175.19000000000003</v>
      </c>
      <c r="BK40" s="6">
        <f t="shared" si="24"/>
        <v>52.557000000000002</v>
      </c>
      <c r="BL40" s="6">
        <f t="shared" si="25"/>
        <v>1979.6470000000002</v>
      </c>
      <c r="BM40" s="6">
        <v>602</v>
      </c>
      <c r="BN40" s="6">
        <v>0</v>
      </c>
      <c r="BO40" s="6">
        <f>BL40*1.5</f>
        <v>2969.4705000000004</v>
      </c>
      <c r="BP40" s="6">
        <f>BO40*1.2</f>
        <v>3563.3646000000003</v>
      </c>
      <c r="BQ40" s="6">
        <f t="shared" si="26"/>
        <v>1583.7176000000002</v>
      </c>
      <c r="BR40" s="6">
        <f t="shared" si="27"/>
        <v>3563.3646000000003</v>
      </c>
      <c r="BS40" t="s">
        <v>114</v>
      </c>
      <c r="BT40" t="s">
        <v>402</v>
      </c>
      <c r="BU40" s="3">
        <v>701349100000</v>
      </c>
      <c r="BV40" t="s">
        <v>158</v>
      </c>
      <c r="BW40" t="s">
        <v>206</v>
      </c>
      <c r="BX40" t="s">
        <v>112</v>
      </c>
      <c r="BY40">
        <v>18</v>
      </c>
      <c r="BZ40">
        <v>162</v>
      </c>
      <c r="CA40">
        <v>167</v>
      </c>
      <c r="CB40" t="s">
        <v>113</v>
      </c>
      <c r="CC40" s="6">
        <v>1843.32</v>
      </c>
      <c r="CD40" s="6">
        <f>CC40*1.08</f>
        <v>1990.7856000000002</v>
      </c>
      <c r="CE40" s="6">
        <f t="shared" si="28"/>
        <v>184.33199999999999</v>
      </c>
      <c r="CF40" s="6">
        <f t="shared" si="29"/>
        <v>55.299599999999998</v>
      </c>
      <c r="CG40" s="6">
        <f t="shared" si="30"/>
        <v>2082.9515999999999</v>
      </c>
      <c r="CH40" s="6">
        <v>501</v>
      </c>
      <c r="CI40" s="6">
        <v>0</v>
      </c>
      <c r="CJ40" s="6">
        <v>0</v>
      </c>
      <c r="CK40" s="6">
        <f>CG40*1.2</f>
        <v>2499.5419199999997</v>
      </c>
      <c r="CL40" s="6">
        <f t="shared" si="31"/>
        <v>416.59031999999979</v>
      </c>
      <c r="CM40" s="6">
        <f t="shared" si="32"/>
        <v>2499.5419199999997</v>
      </c>
      <c r="CN40" t="s">
        <v>114</v>
      </c>
      <c r="CO40" t="s">
        <v>403</v>
      </c>
      <c r="CP40">
        <f t="shared" ca="1" si="33"/>
        <v>0.84978275182471419</v>
      </c>
      <c r="CQ40">
        <v>1</v>
      </c>
      <c r="CR40" s="10" t="str">
        <f t="shared" si="15"/>
        <v>20.12.2025 22:00</v>
      </c>
    </row>
    <row r="41" spans="1:96" x14ac:dyDescent="0.35">
      <c r="A41">
        <v>1222603048</v>
      </c>
      <c r="B41" t="s">
        <v>447</v>
      </c>
      <c r="C41" t="s">
        <v>509</v>
      </c>
      <c r="D41" t="s">
        <v>93</v>
      </c>
      <c r="E41">
        <v>4000</v>
      </c>
      <c r="F41" t="s">
        <v>94</v>
      </c>
      <c r="G41" t="s">
        <v>95</v>
      </c>
      <c r="H41" t="s">
        <v>96</v>
      </c>
      <c r="I41" t="s">
        <v>124</v>
      </c>
      <c r="J41" t="s">
        <v>98</v>
      </c>
      <c r="K41" s="6">
        <f t="shared" si="19"/>
        <v>2194.8965189999999</v>
      </c>
      <c r="L41" t="s">
        <v>99</v>
      </c>
      <c r="M41" t="s">
        <v>100</v>
      </c>
      <c r="N41" t="s">
        <v>125</v>
      </c>
      <c r="O41" t="s">
        <v>96</v>
      </c>
      <c r="P41" t="s">
        <v>96</v>
      </c>
      <c r="Q41" t="s">
        <v>510</v>
      </c>
      <c r="R41" t="s">
        <v>127</v>
      </c>
      <c r="S41" t="s">
        <v>104</v>
      </c>
      <c r="T41">
        <v>0</v>
      </c>
      <c r="U41">
        <v>30</v>
      </c>
      <c r="V41">
        <v>30</v>
      </c>
      <c r="W41" t="s">
        <v>105</v>
      </c>
      <c r="X41" t="s">
        <v>106</v>
      </c>
      <c r="Y41" t="s">
        <v>107</v>
      </c>
      <c r="Z41" t="s">
        <v>108</v>
      </c>
      <c r="AA41">
        <v>594</v>
      </c>
      <c r="AB41">
        <v>609</v>
      </c>
      <c r="AC41" t="s">
        <v>109</v>
      </c>
      <c r="AD41" t="s">
        <v>425</v>
      </c>
      <c r="AE41" s="3">
        <v>190531990000</v>
      </c>
      <c r="AF41" t="s">
        <v>111</v>
      </c>
      <c r="AG41" t="s">
        <v>127</v>
      </c>
      <c r="AH41" t="s">
        <v>112</v>
      </c>
      <c r="AI41">
        <v>5</v>
      </c>
      <c r="AJ41">
        <v>198</v>
      </c>
      <c r="AK41">
        <v>203</v>
      </c>
      <c r="AL41" t="s">
        <v>113</v>
      </c>
      <c r="AM41" s="6">
        <v>547.28</v>
      </c>
      <c r="AN41" s="6">
        <f>AM41*1.08</f>
        <v>591.06240000000003</v>
      </c>
      <c r="AO41" s="6">
        <f t="shared" si="20"/>
        <v>54.728000000000002</v>
      </c>
      <c r="AP41" s="6">
        <f t="shared" si="21"/>
        <v>16.418399999999998</v>
      </c>
      <c r="AQ41" s="6">
        <f t="shared" si="22"/>
        <v>618.42639999999994</v>
      </c>
      <c r="AR41">
        <v>501</v>
      </c>
      <c r="AS41" s="6">
        <v>0</v>
      </c>
      <c r="AT41" s="6">
        <v>0</v>
      </c>
      <c r="AU41" s="6">
        <f>AQ41*1.2</f>
        <v>742.11167999999986</v>
      </c>
      <c r="AV41" s="6">
        <f t="shared" si="34"/>
        <v>123.68527999999992</v>
      </c>
      <c r="AW41" s="6">
        <f t="shared" si="35"/>
        <v>742.11167999999986</v>
      </c>
      <c r="AX41" t="s">
        <v>114</v>
      </c>
      <c r="AY41" t="s">
        <v>511</v>
      </c>
      <c r="AZ41" s="3">
        <v>804100000000</v>
      </c>
      <c r="BA41" t="s">
        <v>116</v>
      </c>
      <c r="BB41" t="s">
        <v>127</v>
      </c>
      <c r="BC41" t="s">
        <v>117</v>
      </c>
      <c r="BD41">
        <v>18</v>
      </c>
      <c r="BE41">
        <v>198</v>
      </c>
      <c r="BF41">
        <v>203</v>
      </c>
      <c r="BG41" t="s">
        <v>113</v>
      </c>
      <c r="BH41" s="6">
        <v>629.98</v>
      </c>
      <c r="BI41" s="6">
        <f>BH41*1.08</f>
        <v>680.37840000000006</v>
      </c>
      <c r="BJ41" s="6">
        <f t="shared" si="23"/>
        <v>62.998000000000005</v>
      </c>
      <c r="BK41" s="6">
        <f t="shared" si="24"/>
        <v>18.8994</v>
      </c>
      <c r="BL41" s="6">
        <f t="shared" si="25"/>
        <v>711.87740000000008</v>
      </c>
      <c r="BM41" s="6">
        <v>501</v>
      </c>
      <c r="BN41" s="6">
        <v>0</v>
      </c>
      <c r="BO41" s="6">
        <v>0</v>
      </c>
      <c r="BP41" s="6">
        <f>BL41*1.2</f>
        <v>854.25288000000012</v>
      </c>
      <c r="BQ41" s="6">
        <f t="shared" si="26"/>
        <v>142.37548000000004</v>
      </c>
      <c r="BR41" s="6">
        <f t="shared" si="27"/>
        <v>854.25288000000012</v>
      </c>
      <c r="BS41" t="s">
        <v>118</v>
      </c>
      <c r="BT41" t="s">
        <v>512</v>
      </c>
      <c r="BU41" s="3">
        <v>100199000000</v>
      </c>
      <c r="BV41" t="s">
        <v>120</v>
      </c>
      <c r="BW41" t="s">
        <v>127</v>
      </c>
      <c r="BX41" t="s">
        <v>117</v>
      </c>
      <c r="BY41">
        <v>13</v>
      </c>
      <c r="BZ41">
        <v>198</v>
      </c>
      <c r="CA41">
        <v>203</v>
      </c>
      <c r="CB41" t="s">
        <v>113</v>
      </c>
      <c r="CC41" s="6">
        <v>524.42999999999995</v>
      </c>
      <c r="CD41" s="6">
        <f>CC41*1.08</f>
        <v>566.38440000000003</v>
      </c>
      <c r="CE41" s="6">
        <f t="shared" si="28"/>
        <v>52.442999999999998</v>
      </c>
      <c r="CF41" s="6">
        <f t="shared" si="29"/>
        <v>15.732899999999997</v>
      </c>
      <c r="CG41" s="6">
        <f t="shared" si="30"/>
        <v>592.60589999999991</v>
      </c>
      <c r="CH41" s="6">
        <v>501</v>
      </c>
      <c r="CI41" s="6">
        <v>0</v>
      </c>
      <c r="CJ41" s="6">
        <v>0</v>
      </c>
      <c r="CK41" s="6">
        <f>CG41*1.01</f>
        <v>598.53195899999992</v>
      </c>
      <c r="CL41" s="6">
        <f t="shared" si="31"/>
        <v>5.9260590000000093</v>
      </c>
      <c r="CM41" s="6">
        <f t="shared" si="32"/>
        <v>598.53195899999992</v>
      </c>
      <c r="CN41" t="s">
        <v>118</v>
      </c>
      <c r="CO41" t="s">
        <v>513</v>
      </c>
      <c r="CP41">
        <f t="shared" ca="1" si="33"/>
        <v>0.49338804146432524</v>
      </c>
      <c r="CQ41">
        <v>1</v>
      </c>
      <c r="CR41" s="10" t="str">
        <f t="shared" si="15"/>
        <v>20.12.2025 22:00</v>
      </c>
    </row>
    <row r="42" spans="1:96" x14ac:dyDescent="0.35">
      <c r="A42">
        <v>1222603049</v>
      </c>
      <c r="B42" t="s">
        <v>453</v>
      </c>
      <c r="C42" t="s">
        <v>221</v>
      </c>
      <c r="D42" t="s">
        <v>93</v>
      </c>
      <c r="E42">
        <v>4000</v>
      </c>
      <c r="F42" t="s">
        <v>94</v>
      </c>
      <c r="G42" t="s">
        <v>95</v>
      </c>
      <c r="H42" t="s">
        <v>96</v>
      </c>
      <c r="I42" t="s">
        <v>222</v>
      </c>
      <c r="J42" t="s">
        <v>98</v>
      </c>
      <c r="K42" s="6">
        <f t="shared" si="19"/>
        <v>1951.7450399999998</v>
      </c>
      <c r="L42" t="s">
        <v>99</v>
      </c>
      <c r="M42" t="s">
        <v>100</v>
      </c>
      <c r="N42" t="s">
        <v>223</v>
      </c>
      <c r="O42" t="s">
        <v>96</v>
      </c>
      <c r="P42" t="s">
        <v>96</v>
      </c>
      <c r="Q42" t="s">
        <v>224</v>
      </c>
      <c r="R42" t="s">
        <v>225</v>
      </c>
      <c r="S42" t="s">
        <v>104</v>
      </c>
      <c r="T42">
        <v>0</v>
      </c>
      <c r="U42">
        <v>30</v>
      </c>
      <c r="V42">
        <v>30</v>
      </c>
      <c r="W42" t="s">
        <v>105</v>
      </c>
      <c r="X42" t="s">
        <v>106</v>
      </c>
      <c r="Y42" t="s">
        <v>107</v>
      </c>
      <c r="Z42" t="s">
        <v>108</v>
      </c>
      <c r="AA42">
        <v>354</v>
      </c>
      <c r="AB42">
        <v>369</v>
      </c>
      <c r="AC42" t="s">
        <v>109</v>
      </c>
      <c r="AD42" t="s">
        <v>207</v>
      </c>
      <c r="AE42" s="3">
        <v>610910000000</v>
      </c>
      <c r="AF42" t="s">
        <v>141</v>
      </c>
      <c r="AG42" t="s">
        <v>225</v>
      </c>
      <c r="AH42" t="s">
        <v>142</v>
      </c>
      <c r="AI42">
        <v>17</v>
      </c>
      <c r="AJ42">
        <v>118</v>
      </c>
      <c r="AK42">
        <v>123</v>
      </c>
      <c r="AL42" t="s">
        <v>113</v>
      </c>
      <c r="AM42" s="6">
        <v>450.29</v>
      </c>
      <c r="AN42" s="6">
        <f>AM42*1.08</f>
        <v>486.31320000000005</v>
      </c>
      <c r="AO42" s="6">
        <f t="shared" si="20"/>
        <v>45.029000000000003</v>
      </c>
      <c r="AP42" s="6">
        <f t="shared" si="21"/>
        <v>13.508699999999999</v>
      </c>
      <c r="AQ42" s="6">
        <f t="shared" si="22"/>
        <v>508.82769999999999</v>
      </c>
      <c r="AR42">
        <v>501</v>
      </c>
      <c r="AS42" s="6">
        <v>0</v>
      </c>
      <c r="AT42" s="6">
        <v>0</v>
      </c>
      <c r="AU42" s="6">
        <f>AQ42*1.2</f>
        <v>610.59323999999992</v>
      </c>
      <c r="AV42" s="6">
        <f t="shared" si="34"/>
        <v>101.76553999999993</v>
      </c>
      <c r="AW42" s="6">
        <f t="shared" si="35"/>
        <v>610.59323999999992</v>
      </c>
      <c r="AX42" t="s">
        <v>114</v>
      </c>
      <c r="AY42" t="s">
        <v>226</v>
      </c>
      <c r="AZ42" s="3">
        <v>620342000000</v>
      </c>
      <c r="BA42" t="s">
        <v>144</v>
      </c>
      <c r="BB42" t="s">
        <v>225</v>
      </c>
      <c r="BC42" t="s">
        <v>142</v>
      </c>
      <c r="BD42">
        <v>20</v>
      </c>
      <c r="BE42">
        <v>118</v>
      </c>
      <c r="BF42">
        <v>123</v>
      </c>
      <c r="BG42" t="s">
        <v>113</v>
      </c>
      <c r="BH42" s="6">
        <v>504.14</v>
      </c>
      <c r="BI42" s="6">
        <f>BH42*1.08</f>
        <v>544.47120000000007</v>
      </c>
      <c r="BJ42" s="6">
        <f t="shared" si="23"/>
        <v>50.414000000000001</v>
      </c>
      <c r="BK42" s="6">
        <f t="shared" si="24"/>
        <v>15.124199999999998</v>
      </c>
      <c r="BL42" s="6">
        <f t="shared" si="25"/>
        <v>569.67819999999995</v>
      </c>
      <c r="BM42" s="6">
        <v>501</v>
      </c>
      <c r="BN42" s="6">
        <v>0</v>
      </c>
      <c r="BO42" s="6">
        <v>0</v>
      </c>
      <c r="BP42" s="6">
        <f>BL42*1.2</f>
        <v>683.61383999999987</v>
      </c>
      <c r="BQ42" s="6">
        <f t="shared" si="26"/>
        <v>113.93563999999992</v>
      </c>
      <c r="BR42" s="6">
        <f t="shared" si="27"/>
        <v>683.61383999999987</v>
      </c>
      <c r="BS42" t="s">
        <v>114</v>
      </c>
      <c r="BT42" t="s">
        <v>227</v>
      </c>
      <c r="BU42" s="3">
        <v>520512000000</v>
      </c>
      <c r="BV42" t="s">
        <v>146</v>
      </c>
      <c r="BW42" t="s">
        <v>225</v>
      </c>
      <c r="BX42" t="s">
        <v>142</v>
      </c>
      <c r="BY42">
        <v>12</v>
      </c>
      <c r="BZ42">
        <v>118</v>
      </c>
      <c r="CA42">
        <v>123</v>
      </c>
      <c r="CB42" t="s">
        <v>113</v>
      </c>
      <c r="CC42" s="6">
        <v>484.91</v>
      </c>
      <c r="CD42" s="6">
        <f>CC42*1.08</f>
        <v>523.70280000000002</v>
      </c>
      <c r="CE42" s="6">
        <f t="shared" si="28"/>
        <v>48.491000000000007</v>
      </c>
      <c r="CF42" s="6">
        <f t="shared" si="29"/>
        <v>14.5473</v>
      </c>
      <c r="CG42" s="6">
        <f t="shared" si="30"/>
        <v>547.94830000000002</v>
      </c>
      <c r="CH42" s="6">
        <v>501</v>
      </c>
      <c r="CI42" s="6">
        <v>0</v>
      </c>
      <c r="CJ42" s="6">
        <v>0</v>
      </c>
      <c r="CK42" s="6">
        <f>CG42*1.2</f>
        <v>657.53796</v>
      </c>
      <c r="CL42" s="6">
        <f t="shared" si="31"/>
        <v>109.58965999999998</v>
      </c>
      <c r="CM42" s="6">
        <f t="shared" si="32"/>
        <v>657.53796</v>
      </c>
      <c r="CN42" t="s">
        <v>114</v>
      </c>
      <c r="CO42" t="s">
        <v>228</v>
      </c>
      <c r="CP42">
        <f t="shared" ca="1" si="33"/>
        <v>0.76408569005543736</v>
      </c>
      <c r="CQ42">
        <v>1</v>
      </c>
      <c r="CR42" s="10" t="str">
        <f t="shared" si="15"/>
        <v>20.12.2025 22:00</v>
      </c>
    </row>
    <row r="43" spans="1:96" x14ac:dyDescent="0.35">
      <c r="A43">
        <v>1222603050</v>
      </c>
      <c r="B43" t="s">
        <v>459</v>
      </c>
      <c r="C43" t="s">
        <v>515</v>
      </c>
      <c r="D43" t="s">
        <v>93</v>
      </c>
      <c r="E43">
        <v>4000</v>
      </c>
      <c r="F43" t="s">
        <v>94</v>
      </c>
      <c r="G43" t="s">
        <v>95</v>
      </c>
      <c r="H43" t="s">
        <v>96</v>
      </c>
      <c r="I43" t="s">
        <v>137</v>
      </c>
      <c r="J43" t="s">
        <v>98</v>
      </c>
      <c r="K43" s="6">
        <f t="shared" si="19"/>
        <v>3320.4390305999996</v>
      </c>
      <c r="L43" t="s">
        <v>99</v>
      </c>
      <c r="M43" t="s">
        <v>100</v>
      </c>
      <c r="N43" t="s">
        <v>138</v>
      </c>
      <c r="O43" t="s">
        <v>96</v>
      </c>
      <c r="P43" t="s">
        <v>96</v>
      </c>
      <c r="Q43" t="s">
        <v>516</v>
      </c>
      <c r="R43" t="s">
        <v>140</v>
      </c>
      <c r="S43" t="s">
        <v>104</v>
      </c>
      <c r="T43">
        <v>0</v>
      </c>
      <c r="U43">
        <v>30</v>
      </c>
      <c r="V43">
        <v>30</v>
      </c>
      <c r="W43" t="s">
        <v>105</v>
      </c>
      <c r="X43" t="s">
        <v>106</v>
      </c>
      <c r="Y43" t="s">
        <v>107</v>
      </c>
      <c r="Z43" t="s">
        <v>108</v>
      </c>
      <c r="AA43">
        <v>600</v>
      </c>
      <c r="AB43">
        <v>615</v>
      </c>
      <c r="AC43" t="s">
        <v>109</v>
      </c>
      <c r="AD43" t="s">
        <v>298</v>
      </c>
      <c r="AE43" s="3">
        <v>292241000000</v>
      </c>
      <c r="AF43" t="s">
        <v>129</v>
      </c>
      <c r="AG43" t="s">
        <v>140</v>
      </c>
      <c r="AH43" t="s">
        <v>112</v>
      </c>
      <c r="AI43">
        <v>11</v>
      </c>
      <c r="AJ43">
        <v>200</v>
      </c>
      <c r="AK43">
        <v>205</v>
      </c>
      <c r="AL43" t="s">
        <v>113</v>
      </c>
      <c r="AM43" s="6">
        <v>891.46</v>
      </c>
      <c r="AN43" s="6">
        <f>AM43*1.08</f>
        <v>962.77680000000009</v>
      </c>
      <c r="AO43" s="6">
        <f t="shared" si="20"/>
        <v>89.146000000000015</v>
      </c>
      <c r="AP43" s="6">
        <f t="shared" si="21"/>
        <v>26.7438</v>
      </c>
      <c r="AQ43" s="6">
        <f t="shared" si="22"/>
        <v>1007.3498</v>
      </c>
      <c r="AR43">
        <v>501</v>
      </c>
      <c r="AS43" s="6">
        <v>0</v>
      </c>
      <c r="AT43" s="6">
        <v>0</v>
      </c>
      <c r="AU43" s="6">
        <f>AQ43*1.2</f>
        <v>1208.8197599999999</v>
      </c>
      <c r="AV43" s="6">
        <f t="shared" si="34"/>
        <v>201.4699599999999</v>
      </c>
      <c r="AW43" s="6">
        <f t="shared" si="35"/>
        <v>1208.8197599999999</v>
      </c>
      <c r="AX43" t="s">
        <v>114</v>
      </c>
      <c r="AY43" t="s">
        <v>517</v>
      </c>
      <c r="AZ43" s="3">
        <v>390110900000</v>
      </c>
      <c r="BA43" t="s">
        <v>131</v>
      </c>
      <c r="BB43" t="s">
        <v>140</v>
      </c>
      <c r="BC43" t="s">
        <v>117</v>
      </c>
      <c r="BD43">
        <v>5</v>
      </c>
      <c r="BE43">
        <v>200</v>
      </c>
      <c r="BF43">
        <v>205</v>
      </c>
      <c r="BG43" t="s">
        <v>113</v>
      </c>
      <c r="BH43" s="6">
        <v>752.79</v>
      </c>
      <c r="BI43" s="6">
        <f>BH43*1.08</f>
        <v>813.01319999999998</v>
      </c>
      <c r="BJ43" s="6">
        <f t="shared" si="23"/>
        <v>75.278999999999996</v>
      </c>
      <c r="BK43" s="6">
        <f t="shared" si="24"/>
        <v>22.583699999999997</v>
      </c>
      <c r="BL43" s="6">
        <f t="shared" si="25"/>
        <v>850.65269999999998</v>
      </c>
      <c r="BM43" s="6">
        <v>501</v>
      </c>
      <c r="BN43" s="6">
        <f>BL43*1.065</f>
        <v>905.9451254999999</v>
      </c>
      <c r="BO43" s="6">
        <v>0</v>
      </c>
      <c r="BP43" s="6">
        <f>BN43*1.2</f>
        <v>1087.1341505999999</v>
      </c>
      <c r="BQ43" s="6">
        <f t="shared" si="26"/>
        <v>236.4814505999999</v>
      </c>
      <c r="BR43" s="6">
        <f t="shared" si="27"/>
        <v>1087.1341505999999</v>
      </c>
      <c r="BS43" t="s">
        <v>114</v>
      </c>
      <c r="BT43" t="s">
        <v>518</v>
      </c>
      <c r="BU43" s="3">
        <v>310210100000</v>
      </c>
      <c r="BV43" t="s">
        <v>133</v>
      </c>
      <c r="BW43" t="s">
        <v>140</v>
      </c>
      <c r="BX43" t="s">
        <v>117</v>
      </c>
      <c r="BY43">
        <v>18</v>
      </c>
      <c r="BZ43">
        <v>200</v>
      </c>
      <c r="CA43">
        <v>205</v>
      </c>
      <c r="CB43" t="s">
        <v>113</v>
      </c>
      <c r="CC43" s="6">
        <v>755.52</v>
      </c>
      <c r="CD43" s="6">
        <f>CC43*1.08</f>
        <v>815.96160000000009</v>
      </c>
      <c r="CE43" s="6">
        <f t="shared" si="28"/>
        <v>75.552000000000007</v>
      </c>
      <c r="CF43" s="6">
        <f t="shared" si="29"/>
        <v>22.665599999999998</v>
      </c>
      <c r="CG43" s="6">
        <f t="shared" si="30"/>
        <v>853.73760000000004</v>
      </c>
      <c r="CH43" s="6">
        <v>501</v>
      </c>
      <c r="CI43" s="6">
        <v>0</v>
      </c>
      <c r="CJ43" s="6">
        <v>0</v>
      </c>
      <c r="CK43" s="6">
        <f>CG43*1.2</f>
        <v>1024.4851200000001</v>
      </c>
      <c r="CL43" s="6">
        <f t="shared" si="31"/>
        <v>170.74752000000001</v>
      </c>
      <c r="CM43" s="6">
        <f t="shared" si="32"/>
        <v>1024.4851200000001</v>
      </c>
      <c r="CN43" t="s">
        <v>114</v>
      </c>
      <c r="CO43" t="s">
        <v>519</v>
      </c>
      <c r="CP43">
        <f t="shared" ca="1" si="33"/>
        <v>0.55038181498423533</v>
      </c>
      <c r="CQ43">
        <v>1</v>
      </c>
      <c r="CR43" s="10" t="str">
        <f t="shared" si="15"/>
        <v>20.12.2025 22:00</v>
      </c>
    </row>
    <row r="44" spans="1:96" x14ac:dyDescent="0.35">
      <c r="A44">
        <v>1222603051</v>
      </c>
      <c r="B44" t="s">
        <v>465</v>
      </c>
      <c r="C44" t="s">
        <v>330</v>
      </c>
      <c r="D44" t="s">
        <v>93</v>
      </c>
      <c r="E44">
        <v>4000</v>
      </c>
      <c r="F44" t="s">
        <v>94</v>
      </c>
      <c r="G44" t="s">
        <v>95</v>
      </c>
      <c r="H44" t="s">
        <v>96</v>
      </c>
      <c r="I44" t="s">
        <v>331</v>
      </c>
      <c r="J44" t="s">
        <v>176</v>
      </c>
      <c r="K44" s="6">
        <f t="shared" si="19"/>
        <v>2588.8286439999997</v>
      </c>
      <c r="L44" t="s">
        <v>99</v>
      </c>
      <c r="M44" t="s">
        <v>100</v>
      </c>
      <c r="N44" t="s">
        <v>332</v>
      </c>
      <c r="O44" t="s">
        <v>96</v>
      </c>
      <c r="P44" t="s">
        <v>96</v>
      </c>
      <c r="Q44" t="s">
        <v>333</v>
      </c>
      <c r="R44" t="s">
        <v>334</v>
      </c>
      <c r="S44" t="s">
        <v>104</v>
      </c>
      <c r="T44">
        <v>0</v>
      </c>
      <c r="U44">
        <v>30</v>
      </c>
      <c r="V44">
        <v>30</v>
      </c>
      <c r="W44" t="s">
        <v>105</v>
      </c>
      <c r="X44" t="s">
        <v>106</v>
      </c>
      <c r="Y44" t="s">
        <v>107</v>
      </c>
      <c r="Z44" t="s">
        <v>108</v>
      </c>
      <c r="AA44">
        <v>426</v>
      </c>
      <c r="AB44">
        <v>441</v>
      </c>
      <c r="AC44" t="s">
        <v>109</v>
      </c>
      <c r="AD44" t="s">
        <v>193</v>
      </c>
      <c r="AE44" s="3">
        <v>190531990000</v>
      </c>
      <c r="AF44" t="s">
        <v>111</v>
      </c>
      <c r="AG44" t="s">
        <v>334</v>
      </c>
      <c r="AH44" t="s">
        <v>112</v>
      </c>
      <c r="AI44">
        <v>17</v>
      </c>
      <c r="AJ44">
        <v>142</v>
      </c>
      <c r="AK44">
        <v>147</v>
      </c>
      <c r="AL44" t="s">
        <v>113</v>
      </c>
      <c r="AM44" s="6">
        <v>676.42</v>
      </c>
      <c r="AN44" s="6">
        <v>1939.38</v>
      </c>
      <c r="AO44" s="6">
        <f t="shared" si="20"/>
        <v>67.641999999999996</v>
      </c>
      <c r="AP44" s="6">
        <f t="shared" si="21"/>
        <v>20.292599999999997</v>
      </c>
      <c r="AQ44" s="6">
        <f t="shared" si="22"/>
        <v>764.35459999999989</v>
      </c>
      <c r="AR44">
        <v>501</v>
      </c>
      <c r="AS44" s="6">
        <f>AQ44*1.1</f>
        <v>840.79005999999993</v>
      </c>
      <c r="AT44" s="6">
        <v>0</v>
      </c>
      <c r="AU44" s="6">
        <f>AS44*1.2</f>
        <v>1008.9480719999999</v>
      </c>
      <c r="AV44" s="6">
        <f t="shared" si="34"/>
        <v>244.59347200000002</v>
      </c>
      <c r="AW44" s="6">
        <f t="shared" si="35"/>
        <v>1008.9480719999999</v>
      </c>
      <c r="AX44" t="s">
        <v>118</v>
      </c>
      <c r="AY44" t="s">
        <v>335</v>
      </c>
      <c r="AZ44" s="3">
        <v>804100000000</v>
      </c>
      <c r="BA44" t="s">
        <v>116</v>
      </c>
      <c r="BB44" t="s">
        <v>334</v>
      </c>
      <c r="BC44" t="s">
        <v>117</v>
      </c>
      <c r="BD44">
        <v>8</v>
      </c>
      <c r="BE44">
        <v>142</v>
      </c>
      <c r="BF44">
        <v>147</v>
      </c>
      <c r="BG44" t="s">
        <v>113</v>
      </c>
      <c r="BH44" s="6">
        <v>644.91999999999996</v>
      </c>
      <c r="BI44" s="6">
        <v>1939.38</v>
      </c>
      <c r="BJ44" s="6">
        <f t="shared" si="23"/>
        <v>64.492000000000004</v>
      </c>
      <c r="BK44" s="6">
        <f t="shared" si="24"/>
        <v>19.347599999999996</v>
      </c>
      <c r="BL44" s="6">
        <f t="shared" si="25"/>
        <v>728.75959999999986</v>
      </c>
      <c r="BM44" s="6">
        <v>501</v>
      </c>
      <c r="BN44" s="6">
        <v>0</v>
      </c>
      <c r="BO44" s="6">
        <v>0</v>
      </c>
      <c r="BP44" s="6">
        <f>BL44*1.2</f>
        <v>874.51151999999979</v>
      </c>
      <c r="BQ44" s="6">
        <f t="shared" si="26"/>
        <v>145.75191999999993</v>
      </c>
      <c r="BR44" s="6">
        <f t="shared" si="27"/>
        <v>874.51151999999979</v>
      </c>
      <c r="BS44" t="s">
        <v>118</v>
      </c>
      <c r="BT44" t="s">
        <v>336</v>
      </c>
      <c r="BU44" s="3">
        <v>100199000000</v>
      </c>
      <c r="BV44" t="s">
        <v>120</v>
      </c>
      <c r="BW44" t="s">
        <v>334</v>
      </c>
      <c r="BX44" t="s">
        <v>117</v>
      </c>
      <c r="BY44">
        <v>15</v>
      </c>
      <c r="BZ44">
        <v>142</v>
      </c>
      <c r="CA44">
        <v>147</v>
      </c>
      <c r="CB44" t="s">
        <v>113</v>
      </c>
      <c r="CC44" s="6">
        <v>618.04</v>
      </c>
      <c r="CD44" s="6">
        <v>1939.38</v>
      </c>
      <c r="CE44" s="6">
        <f t="shared" si="28"/>
        <v>61.804000000000002</v>
      </c>
      <c r="CF44" s="6">
        <f t="shared" si="29"/>
        <v>18.5412</v>
      </c>
      <c r="CG44" s="6">
        <f t="shared" si="30"/>
        <v>698.38519999999994</v>
      </c>
      <c r="CH44" s="6">
        <v>501</v>
      </c>
      <c r="CI44" s="6">
        <v>0</v>
      </c>
      <c r="CJ44" s="6">
        <v>0</v>
      </c>
      <c r="CK44" s="6">
        <f>CG44*1.01</f>
        <v>705.3690519999999</v>
      </c>
      <c r="CL44" s="6">
        <f t="shared" si="31"/>
        <v>6.9838519999999562</v>
      </c>
      <c r="CM44" s="6">
        <f t="shared" si="32"/>
        <v>705.3690519999999</v>
      </c>
      <c r="CN44" t="s">
        <v>118</v>
      </c>
      <c r="CO44" t="s">
        <v>337</v>
      </c>
      <c r="CP44">
        <f t="shared" ca="1" si="33"/>
        <v>0.42462531715704355</v>
      </c>
      <c r="CQ44">
        <v>1</v>
      </c>
      <c r="CR44" s="10" t="str">
        <f t="shared" si="15"/>
        <v>20.12.2025 22:00</v>
      </c>
    </row>
    <row r="45" spans="1:96" x14ac:dyDescent="0.35">
      <c r="A45">
        <v>1222603052</v>
      </c>
      <c r="B45" t="s">
        <v>472</v>
      </c>
      <c r="C45" t="s">
        <v>161</v>
      </c>
      <c r="D45" t="s">
        <v>93</v>
      </c>
      <c r="E45">
        <v>4000</v>
      </c>
      <c r="F45" t="s">
        <v>94</v>
      </c>
      <c r="G45" t="s">
        <v>95</v>
      </c>
      <c r="H45" t="s">
        <v>96</v>
      </c>
      <c r="I45" t="s">
        <v>162</v>
      </c>
      <c r="J45" t="s">
        <v>98</v>
      </c>
      <c r="K45" s="6">
        <f t="shared" si="19"/>
        <v>7444.6051935999994</v>
      </c>
      <c r="L45" t="s">
        <v>99</v>
      </c>
      <c r="M45" t="s">
        <v>100</v>
      </c>
      <c r="N45" t="s">
        <v>163</v>
      </c>
      <c r="O45" t="s">
        <v>96</v>
      </c>
      <c r="P45" t="s">
        <v>96</v>
      </c>
      <c r="Q45" t="s">
        <v>164</v>
      </c>
      <c r="R45" t="s">
        <v>165</v>
      </c>
      <c r="S45" t="s">
        <v>104</v>
      </c>
      <c r="T45">
        <v>0</v>
      </c>
      <c r="U45">
        <v>30</v>
      </c>
      <c r="V45">
        <v>30</v>
      </c>
      <c r="W45" t="s">
        <v>105</v>
      </c>
      <c r="X45" t="s">
        <v>106</v>
      </c>
      <c r="Y45" t="s">
        <v>107</v>
      </c>
      <c r="Z45" t="s">
        <v>108</v>
      </c>
      <c r="AA45">
        <v>324</v>
      </c>
      <c r="AB45">
        <v>339</v>
      </c>
      <c r="AC45" t="s">
        <v>109</v>
      </c>
      <c r="AD45" t="s">
        <v>166</v>
      </c>
      <c r="AE45" s="3">
        <v>401110000000</v>
      </c>
      <c r="AF45" t="s">
        <v>167</v>
      </c>
      <c r="AG45" t="s">
        <v>165</v>
      </c>
      <c r="AH45" t="s">
        <v>112</v>
      </c>
      <c r="AI45">
        <v>18</v>
      </c>
      <c r="AJ45">
        <v>108</v>
      </c>
      <c r="AK45">
        <v>113</v>
      </c>
      <c r="AL45" t="s">
        <v>113</v>
      </c>
      <c r="AM45" s="6">
        <v>879.28</v>
      </c>
      <c r="AN45" s="6">
        <f>AM45*1.08</f>
        <v>949.62240000000008</v>
      </c>
      <c r="AO45" s="6">
        <f t="shared" si="20"/>
        <v>87.927999999999997</v>
      </c>
      <c r="AP45" s="6">
        <f t="shared" si="21"/>
        <v>26.378399999999999</v>
      </c>
      <c r="AQ45" s="6">
        <f t="shared" si="22"/>
        <v>993.58639999999991</v>
      </c>
      <c r="AR45">
        <v>501</v>
      </c>
      <c r="AS45" s="6">
        <v>0</v>
      </c>
      <c r="AT45" s="6">
        <v>0</v>
      </c>
      <c r="AU45" s="6">
        <f>AQ45*1.2</f>
        <v>1192.3036799999998</v>
      </c>
      <c r="AV45" s="6">
        <v>712.58</v>
      </c>
      <c r="AW45" s="6">
        <v>4275.49</v>
      </c>
      <c r="AX45" t="s">
        <v>114</v>
      </c>
      <c r="AY45" t="s">
        <v>168</v>
      </c>
      <c r="AZ45" s="3">
        <v>843141000000</v>
      </c>
      <c r="BA45" t="s">
        <v>169</v>
      </c>
      <c r="BB45" t="s">
        <v>165</v>
      </c>
      <c r="BC45" t="s">
        <v>112</v>
      </c>
      <c r="BD45">
        <v>14</v>
      </c>
      <c r="BE45">
        <v>108</v>
      </c>
      <c r="BF45">
        <v>113</v>
      </c>
      <c r="BG45" t="s">
        <v>113</v>
      </c>
      <c r="BH45" s="6">
        <v>968.55</v>
      </c>
      <c r="BI45" s="6">
        <f>BH45*1.08</f>
        <v>1046.0340000000001</v>
      </c>
      <c r="BJ45" s="6">
        <f t="shared" si="23"/>
        <v>96.855000000000004</v>
      </c>
      <c r="BK45" s="6">
        <f t="shared" si="24"/>
        <v>29.056499999999996</v>
      </c>
      <c r="BL45" s="6">
        <f t="shared" si="25"/>
        <v>1094.4614999999999</v>
      </c>
      <c r="BM45" s="6">
        <v>501</v>
      </c>
      <c r="BN45" s="6">
        <f>BL45*1.02</f>
        <v>1116.3507299999999</v>
      </c>
      <c r="BO45" s="6">
        <v>0</v>
      </c>
      <c r="BP45" s="6">
        <f>BN45*1.2</f>
        <v>1339.6208759999997</v>
      </c>
      <c r="BQ45" s="6">
        <f t="shared" si="26"/>
        <v>245.15937599999984</v>
      </c>
      <c r="BR45" s="6">
        <f t="shared" si="27"/>
        <v>1339.6208759999997</v>
      </c>
      <c r="BS45" t="s">
        <v>114</v>
      </c>
      <c r="BT45" t="s">
        <v>170</v>
      </c>
      <c r="BU45" s="3">
        <v>850421000000</v>
      </c>
      <c r="BV45" t="s">
        <v>171</v>
      </c>
      <c r="BW45" t="s">
        <v>165</v>
      </c>
      <c r="BX45" t="s">
        <v>112</v>
      </c>
      <c r="BY45">
        <v>11</v>
      </c>
      <c r="BZ45">
        <v>108</v>
      </c>
      <c r="CA45">
        <v>113</v>
      </c>
      <c r="CB45" t="s">
        <v>113</v>
      </c>
      <c r="CC45" s="6">
        <v>1322.73</v>
      </c>
      <c r="CD45" s="6">
        <f>CC45*1.08</f>
        <v>1428.5484000000001</v>
      </c>
      <c r="CE45" s="6">
        <f t="shared" si="28"/>
        <v>132.273</v>
      </c>
      <c r="CF45" s="6">
        <f t="shared" si="29"/>
        <v>39.681899999999999</v>
      </c>
      <c r="CG45" s="6">
        <f t="shared" si="30"/>
        <v>1494.6849</v>
      </c>
      <c r="CH45" s="6">
        <v>501</v>
      </c>
      <c r="CI45" s="6">
        <f>CG45*1.02</f>
        <v>1524.5785980000001</v>
      </c>
      <c r="CJ45" s="6">
        <v>0</v>
      </c>
      <c r="CK45" s="6">
        <f>CI45*1.2</f>
        <v>1829.4943175999999</v>
      </c>
      <c r="CL45" s="6">
        <f t="shared" si="31"/>
        <v>334.80941759999996</v>
      </c>
      <c r="CM45" s="6">
        <f t="shared" si="32"/>
        <v>1829.4943175999999</v>
      </c>
      <c r="CN45" t="s">
        <v>114</v>
      </c>
      <c r="CO45" t="s">
        <v>172</v>
      </c>
      <c r="CP45">
        <f t="shared" ca="1" si="33"/>
        <v>0.43167936556886743</v>
      </c>
      <c r="CQ45">
        <v>1</v>
      </c>
      <c r="CR45" s="10" t="str">
        <f t="shared" si="15"/>
        <v>20.12.2025 22:00</v>
      </c>
    </row>
    <row r="46" spans="1:96" x14ac:dyDescent="0.35">
      <c r="A46">
        <v>1222603053</v>
      </c>
      <c r="B46" t="s">
        <v>478</v>
      </c>
      <c r="C46" t="s">
        <v>230</v>
      </c>
      <c r="D46" t="s">
        <v>93</v>
      </c>
      <c r="E46">
        <v>4000</v>
      </c>
      <c r="F46" t="s">
        <v>94</v>
      </c>
      <c r="G46" t="s">
        <v>95</v>
      </c>
      <c r="H46" t="s">
        <v>96</v>
      </c>
      <c r="I46" t="s">
        <v>231</v>
      </c>
      <c r="J46" t="s">
        <v>98</v>
      </c>
      <c r="K46" s="6">
        <f t="shared" si="19"/>
        <v>7631.7917399999997</v>
      </c>
      <c r="L46" t="s">
        <v>99</v>
      </c>
      <c r="M46" t="s">
        <v>100</v>
      </c>
      <c r="N46" t="s">
        <v>232</v>
      </c>
      <c r="O46" t="s">
        <v>96</v>
      </c>
      <c r="P46" t="s">
        <v>96</v>
      </c>
      <c r="Q46" t="s">
        <v>233</v>
      </c>
      <c r="R46" t="s">
        <v>96</v>
      </c>
      <c r="S46" t="s">
        <v>104</v>
      </c>
      <c r="T46">
        <v>0</v>
      </c>
      <c r="U46">
        <v>30</v>
      </c>
      <c r="V46">
        <v>30</v>
      </c>
      <c r="W46" t="s">
        <v>105</v>
      </c>
      <c r="X46" t="s">
        <v>106</v>
      </c>
      <c r="Y46" t="s">
        <v>107</v>
      </c>
      <c r="Z46" t="s">
        <v>108</v>
      </c>
      <c r="AA46">
        <v>360</v>
      </c>
      <c r="AB46">
        <v>375</v>
      </c>
      <c r="AC46" t="s">
        <v>109</v>
      </c>
      <c r="AD46" t="s">
        <v>166</v>
      </c>
      <c r="AE46" s="3">
        <v>847130000000</v>
      </c>
      <c r="AF46" t="s">
        <v>154</v>
      </c>
      <c r="AG46" t="s">
        <v>234</v>
      </c>
      <c r="AH46" t="s">
        <v>112</v>
      </c>
      <c r="AI46">
        <v>20</v>
      </c>
      <c r="AJ46">
        <v>120</v>
      </c>
      <c r="AK46">
        <v>125</v>
      </c>
      <c r="AL46" t="s">
        <v>113</v>
      </c>
      <c r="AM46" s="6">
        <v>1547.5</v>
      </c>
      <c r="AN46" s="6">
        <f>AM46*1.08</f>
        <v>1671.3000000000002</v>
      </c>
      <c r="AO46" s="6">
        <f t="shared" si="20"/>
        <v>154.75</v>
      </c>
      <c r="AP46" s="6">
        <f t="shared" si="21"/>
        <v>46.424999999999997</v>
      </c>
      <c r="AQ46" s="6">
        <f t="shared" si="22"/>
        <v>1748.675</v>
      </c>
      <c r="AR46">
        <v>501</v>
      </c>
      <c r="AS46" s="6">
        <v>0</v>
      </c>
      <c r="AT46" s="6">
        <v>0</v>
      </c>
      <c r="AU46" s="6">
        <f>AQ46*1.2</f>
        <v>2098.41</v>
      </c>
      <c r="AV46" s="6">
        <f t="shared" ref="AV46:AV52" si="36">AU46-AQ46</f>
        <v>349.7349999999999</v>
      </c>
      <c r="AW46" s="6">
        <f t="shared" ref="AW46:AW52" si="37">AU46</f>
        <v>2098.41</v>
      </c>
      <c r="AX46" t="s">
        <v>114</v>
      </c>
      <c r="AY46" t="s">
        <v>235</v>
      </c>
      <c r="AZ46" s="3">
        <v>851713000000</v>
      </c>
      <c r="BA46" t="s">
        <v>156</v>
      </c>
      <c r="BB46" t="s">
        <v>234</v>
      </c>
      <c r="BC46" t="s">
        <v>112</v>
      </c>
      <c r="BD46">
        <v>5</v>
      </c>
      <c r="BE46">
        <v>120</v>
      </c>
      <c r="BF46">
        <v>125</v>
      </c>
      <c r="BG46" t="s">
        <v>113</v>
      </c>
      <c r="BH46" s="6">
        <v>1699.85</v>
      </c>
      <c r="BI46" s="6">
        <f>BH46*1.08</f>
        <v>1835.838</v>
      </c>
      <c r="BJ46" s="6">
        <f t="shared" si="23"/>
        <v>169.98500000000001</v>
      </c>
      <c r="BK46" s="6">
        <f t="shared" si="24"/>
        <v>50.995499999999993</v>
      </c>
      <c r="BL46" s="6">
        <f t="shared" si="25"/>
        <v>1920.8305</v>
      </c>
      <c r="BM46" s="6">
        <v>602</v>
      </c>
      <c r="BN46" s="6">
        <v>0</v>
      </c>
      <c r="BO46" s="6">
        <f>BL46*1.5</f>
        <v>2881.24575</v>
      </c>
      <c r="BP46" s="6">
        <f>BO46*1.2</f>
        <v>3457.4949000000001</v>
      </c>
      <c r="BQ46" s="6">
        <f t="shared" si="26"/>
        <v>1536.6644000000001</v>
      </c>
      <c r="BR46" s="6">
        <f t="shared" si="27"/>
        <v>3457.4949000000001</v>
      </c>
      <c r="BS46" t="s">
        <v>114</v>
      </c>
      <c r="BT46" t="s">
        <v>236</v>
      </c>
      <c r="BU46" s="3">
        <v>701349100000</v>
      </c>
      <c r="BV46" t="s">
        <v>158</v>
      </c>
      <c r="BW46" t="s">
        <v>234</v>
      </c>
      <c r="BX46" t="s">
        <v>112</v>
      </c>
      <c r="BY46">
        <v>16</v>
      </c>
      <c r="BZ46">
        <v>120</v>
      </c>
      <c r="CA46">
        <v>125</v>
      </c>
      <c r="CB46" t="s">
        <v>113</v>
      </c>
      <c r="CC46" s="6">
        <v>1530.89</v>
      </c>
      <c r="CD46" s="6">
        <f>CC46*1.08</f>
        <v>1653.3612000000003</v>
      </c>
      <c r="CE46" s="6">
        <f t="shared" si="28"/>
        <v>153.08900000000003</v>
      </c>
      <c r="CF46" s="6">
        <f t="shared" si="29"/>
        <v>45.926700000000004</v>
      </c>
      <c r="CG46" s="6">
        <f t="shared" si="30"/>
        <v>1729.9057</v>
      </c>
      <c r="CH46" s="6">
        <v>501</v>
      </c>
      <c r="CI46" s="6">
        <v>0</v>
      </c>
      <c r="CJ46" s="6">
        <v>0</v>
      </c>
      <c r="CK46" s="6">
        <f>CG46*1.2</f>
        <v>2075.8868400000001</v>
      </c>
      <c r="CL46" s="6">
        <f t="shared" si="31"/>
        <v>345.9811400000001</v>
      </c>
      <c r="CM46" s="6">
        <f t="shared" si="32"/>
        <v>2075.8868400000001</v>
      </c>
      <c r="CN46" t="s">
        <v>114</v>
      </c>
      <c r="CO46" t="s">
        <v>237</v>
      </c>
      <c r="CP46">
        <f t="shared" ca="1" si="33"/>
        <v>0.53301151181363393</v>
      </c>
      <c r="CQ46">
        <v>1</v>
      </c>
      <c r="CR46" s="10" t="str">
        <f t="shared" si="15"/>
        <v>20.12.2025 22:00</v>
      </c>
    </row>
    <row r="47" spans="1:96" x14ac:dyDescent="0.35">
      <c r="A47">
        <v>1222603054</v>
      </c>
      <c r="B47" t="s">
        <v>484</v>
      </c>
      <c r="C47" t="s">
        <v>423</v>
      </c>
      <c r="D47" t="s">
        <v>93</v>
      </c>
      <c r="E47">
        <v>4000</v>
      </c>
      <c r="F47" t="s">
        <v>94</v>
      </c>
      <c r="G47" t="s">
        <v>95</v>
      </c>
      <c r="H47" t="s">
        <v>96</v>
      </c>
      <c r="I47" t="s">
        <v>240</v>
      </c>
      <c r="J47" t="s">
        <v>176</v>
      </c>
      <c r="K47" s="6">
        <f t="shared" si="19"/>
        <v>2646.9235260000005</v>
      </c>
      <c r="L47" t="s">
        <v>99</v>
      </c>
      <c r="M47" t="s">
        <v>100</v>
      </c>
      <c r="N47" t="s">
        <v>241</v>
      </c>
      <c r="O47" t="s">
        <v>96</v>
      </c>
      <c r="P47" t="s">
        <v>96</v>
      </c>
      <c r="Q47" t="s">
        <v>424</v>
      </c>
      <c r="R47" t="s">
        <v>96</v>
      </c>
      <c r="S47" t="s">
        <v>104</v>
      </c>
      <c r="T47">
        <v>0</v>
      </c>
      <c r="U47">
        <v>30</v>
      </c>
      <c r="V47">
        <v>30</v>
      </c>
      <c r="W47" t="s">
        <v>105</v>
      </c>
      <c r="X47" t="s">
        <v>106</v>
      </c>
      <c r="Y47" t="s">
        <v>107</v>
      </c>
      <c r="Z47" t="s">
        <v>108</v>
      </c>
      <c r="AA47">
        <v>510</v>
      </c>
      <c r="AB47">
        <v>525</v>
      </c>
      <c r="AC47" t="s">
        <v>109</v>
      </c>
      <c r="AD47" t="s">
        <v>425</v>
      </c>
      <c r="AE47" s="3">
        <v>190531990000</v>
      </c>
      <c r="AF47" t="s">
        <v>111</v>
      </c>
      <c r="AG47" t="s">
        <v>243</v>
      </c>
      <c r="AH47" t="s">
        <v>112</v>
      </c>
      <c r="AI47">
        <v>13</v>
      </c>
      <c r="AJ47">
        <v>170</v>
      </c>
      <c r="AK47">
        <v>175</v>
      </c>
      <c r="AL47" t="s">
        <v>113</v>
      </c>
      <c r="AM47" s="6">
        <v>615.95000000000005</v>
      </c>
      <c r="AN47" s="6">
        <v>1983.96</v>
      </c>
      <c r="AO47" s="6">
        <f t="shared" si="20"/>
        <v>61.595000000000006</v>
      </c>
      <c r="AP47" s="6">
        <f t="shared" si="21"/>
        <v>18.4785</v>
      </c>
      <c r="AQ47" s="6">
        <f t="shared" si="22"/>
        <v>696.02350000000013</v>
      </c>
      <c r="AR47">
        <v>501</v>
      </c>
      <c r="AS47" s="6">
        <f>AQ47*1.1</f>
        <v>765.62585000000024</v>
      </c>
      <c r="AT47" s="6">
        <v>0</v>
      </c>
      <c r="AU47" s="6">
        <f>AS47*1.2</f>
        <v>918.75102000000027</v>
      </c>
      <c r="AV47" s="6">
        <f t="shared" si="36"/>
        <v>222.72752000000014</v>
      </c>
      <c r="AW47" s="6">
        <f t="shared" si="37"/>
        <v>918.75102000000027</v>
      </c>
      <c r="AX47" t="s">
        <v>118</v>
      </c>
      <c r="AY47" t="s">
        <v>426</v>
      </c>
      <c r="AZ47" s="3">
        <v>804100000000</v>
      </c>
      <c r="BA47" t="s">
        <v>116</v>
      </c>
      <c r="BB47" t="s">
        <v>243</v>
      </c>
      <c r="BC47" t="s">
        <v>117</v>
      </c>
      <c r="BD47">
        <v>19</v>
      </c>
      <c r="BE47">
        <v>170</v>
      </c>
      <c r="BF47">
        <v>175</v>
      </c>
      <c r="BG47" t="s">
        <v>113</v>
      </c>
      <c r="BH47" s="6">
        <v>777.19</v>
      </c>
      <c r="BI47" s="6">
        <v>1983.96</v>
      </c>
      <c r="BJ47" s="6">
        <f t="shared" si="23"/>
        <v>77.719000000000008</v>
      </c>
      <c r="BK47" s="6">
        <f t="shared" si="24"/>
        <v>23.3157</v>
      </c>
      <c r="BL47" s="6">
        <f t="shared" si="25"/>
        <v>878.2247000000001</v>
      </c>
      <c r="BM47" s="6">
        <v>501</v>
      </c>
      <c r="BN47" s="6">
        <v>0</v>
      </c>
      <c r="BO47" s="6">
        <v>0</v>
      </c>
      <c r="BP47" s="6">
        <f>BL47*1.2</f>
        <v>1053.8696400000001</v>
      </c>
      <c r="BQ47" s="6">
        <f t="shared" si="26"/>
        <v>175.64494000000002</v>
      </c>
      <c r="BR47" s="6">
        <f t="shared" si="27"/>
        <v>1053.8696400000001</v>
      </c>
      <c r="BS47" t="s">
        <v>118</v>
      </c>
      <c r="BT47" t="s">
        <v>427</v>
      </c>
      <c r="BU47" s="3">
        <v>100199000000</v>
      </c>
      <c r="BV47" t="s">
        <v>120</v>
      </c>
      <c r="BW47" t="s">
        <v>243</v>
      </c>
      <c r="BX47" t="s">
        <v>117</v>
      </c>
      <c r="BY47">
        <v>9</v>
      </c>
      <c r="BZ47">
        <v>170</v>
      </c>
      <c r="CA47">
        <v>175</v>
      </c>
      <c r="CB47" t="s">
        <v>113</v>
      </c>
      <c r="CC47" s="6">
        <v>590.82000000000005</v>
      </c>
      <c r="CD47" s="6">
        <v>1983.96</v>
      </c>
      <c r="CE47" s="6">
        <f t="shared" si="28"/>
        <v>59.082000000000008</v>
      </c>
      <c r="CF47" s="6">
        <f t="shared" si="29"/>
        <v>17.724600000000002</v>
      </c>
      <c r="CG47" s="6">
        <f t="shared" si="30"/>
        <v>667.62660000000005</v>
      </c>
      <c r="CH47" s="6">
        <v>501</v>
      </c>
      <c r="CI47" s="6">
        <v>0</v>
      </c>
      <c r="CJ47" s="6">
        <v>0</v>
      </c>
      <c r="CK47" s="6">
        <f>CG47*1.01</f>
        <v>674.30286600000011</v>
      </c>
      <c r="CL47" s="6">
        <f t="shared" si="31"/>
        <v>6.6762660000000551</v>
      </c>
      <c r="CM47" s="6">
        <f t="shared" si="32"/>
        <v>674.30286600000011</v>
      </c>
      <c r="CN47" t="s">
        <v>118</v>
      </c>
      <c r="CO47" t="s">
        <v>428</v>
      </c>
      <c r="CP47">
        <f t="shared" ca="1" si="33"/>
        <v>0.873169751956277</v>
      </c>
      <c r="CQ47">
        <v>1</v>
      </c>
      <c r="CR47" s="10" t="str">
        <f t="shared" si="15"/>
        <v>20.12.2025 22:00</v>
      </c>
    </row>
    <row r="48" spans="1:96" x14ac:dyDescent="0.35">
      <c r="A48">
        <v>1222603056</v>
      </c>
      <c r="B48" t="s">
        <v>490</v>
      </c>
      <c r="C48" t="s">
        <v>442</v>
      </c>
      <c r="D48" t="s">
        <v>93</v>
      </c>
      <c r="E48">
        <v>4000</v>
      </c>
      <c r="F48" t="s">
        <v>94</v>
      </c>
      <c r="G48" t="s">
        <v>95</v>
      </c>
      <c r="H48" t="s">
        <v>96</v>
      </c>
      <c r="I48" t="s">
        <v>267</v>
      </c>
      <c r="J48" t="s">
        <v>176</v>
      </c>
      <c r="K48" s="6">
        <f t="shared" si="19"/>
        <v>6569.1006419999994</v>
      </c>
      <c r="L48" t="s">
        <v>99</v>
      </c>
      <c r="M48" t="s">
        <v>100</v>
      </c>
      <c r="N48" t="s">
        <v>268</v>
      </c>
      <c r="O48" t="s">
        <v>96</v>
      </c>
      <c r="P48" t="s">
        <v>96</v>
      </c>
      <c r="Q48" t="s">
        <v>443</v>
      </c>
      <c r="R48" t="s">
        <v>270</v>
      </c>
      <c r="S48" t="s">
        <v>104</v>
      </c>
      <c r="T48">
        <v>0</v>
      </c>
      <c r="U48">
        <v>30</v>
      </c>
      <c r="V48">
        <v>30</v>
      </c>
      <c r="W48" t="s">
        <v>105</v>
      </c>
      <c r="X48" t="s">
        <v>106</v>
      </c>
      <c r="Y48" t="s">
        <v>107</v>
      </c>
      <c r="Z48" t="s">
        <v>108</v>
      </c>
      <c r="AA48">
        <v>528</v>
      </c>
      <c r="AB48">
        <v>543</v>
      </c>
      <c r="AC48" t="s">
        <v>109</v>
      </c>
      <c r="AD48" t="s">
        <v>180</v>
      </c>
      <c r="AE48" s="3">
        <v>847130000000</v>
      </c>
      <c r="AF48" t="s">
        <v>154</v>
      </c>
      <c r="AG48" t="s">
        <v>270</v>
      </c>
      <c r="AH48" t="s">
        <v>112</v>
      </c>
      <c r="AI48">
        <v>14</v>
      </c>
      <c r="AJ48">
        <v>176</v>
      </c>
      <c r="AK48">
        <v>181</v>
      </c>
      <c r="AL48" t="s">
        <v>113</v>
      </c>
      <c r="AM48" s="6">
        <v>1736.96</v>
      </c>
      <c r="AN48" s="6">
        <f>AM48*1.08</f>
        <v>1875.9168000000002</v>
      </c>
      <c r="AO48" s="6">
        <f t="shared" si="20"/>
        <v>173.69600000000003</v>
      </c>
      <c r="AP48" s="6">
        <f t="shared" si="21"/>
        <v>52.108800000000002</v>
      </c>
      <c r="AQ48" s="6">
        <f t="shared" si="22"/>
        <v>1962.7647999999999</v>
      </c>
      <c r="AR48">
        <v>501</v>
      </c>
      <c r="AS48" s="6">
        <v>0</v>
      </c>
      <c r="AT48" s="6">
        <v>0</v>
      </c>
      <c r="AU48" s="6">
        <f>AQ48*1.2</f>
        <v>2355.3177599999999</v>
      </c>
      <c r="AV48" s="6">
        <f t="shared" si="36"/>
        <v>392.55295999999998</v>
      </c>
      <c r="AW48" s="6">
        <f t="shared" si="37"/>
        <v>2355.3177599999999</v>
      </c>
      <c r="AX48" t="s">
        <v>118</v>
      </c>
      <c r="AY48" t="s">
        <v>444</v>
      </c>
      <c r="AZ48" s="3">
        <v>851713000000</v>
      </c>
      <c r="BA48" t="s">
        <v>156</v>
      </c>
      <c r="BB48" t="s">
        <v>270</v>
      </c>
      <c r="BC48" t="s">
        <v>112</v>
      </c>
      <c r="BD48">
        <v>12</v>
      </c>
      <c r="BE48">
        <v>176</v>
      </c>
      <c r="BF48">
        <v>181</v>
      </c>
      <c r="BG48" t="s">
        <v>113</v>
      </c>
      <c r="BH48" s="6">
        <v>1332.06</v>
      </c>
      <c r="BI48" s="6">
        <f>BH48*1.08</f>
        <v>1438.6248000000001</v>
      </c>
      <c r="BJ48" s="6">
        <f t="shared" si="23"/>
        <v>133.20599999999999</v>
      </c>
      <c r="BK48" s="6">
        <f t="shared" si="24"/>
        <v>39.961799999999997</v>
      </c>
      <c r="BL48" s="6">
        <f t="shared" si="25"/>
        <v>1505.2277999999999</v>
      </c>
      <c r="BM48" s="6">
        <v>602</v>
      </c>
      <c r="BN48" s="6">
        <v>0</v>
      </c>
      <c r="BO48" s="6">
        <f>BL48*1.5</f>
        <v>2257.8416999999999</v>
      </c>
      <c r="BP48" s="6">
        <f>BO48*1.2</f>
        <v>2709.4100399999998</v>
      </c>
      <c r="BQ48" s="6">
        <f t="shared" si="26"/>
        <v>1204.1822399999999</v>
      </c>
      <c r="BR48" s="6">
        <f t="shared" si="27"/>
        <v>2709.4100399999998</v>
      </c>
      <c r="BS48" t="s">
        <v>118</v>
      </c>
      <c r="BT48" t="s">
        <v>445</v>
      </c>
      <c r="BU48" s="3">
        <v>701349100000</v>
      </c>
      <c r="BV48" t="s">
        <v>158</v>
      </c>
      <c r="BW48" t="s">
        <v>270</v>
      </c>
      <c r="BX48" t="s">
        <v>112</v>
      </c>
      <c r="BY48">
        <v>13</v>
      </c>
      <c r="BZ48">
        <v>176</v>
      </c>
      <c r="CA48">
        <v>181</v>
      </c>
      <c r="CB48" t="s">
        <v>113</v>
      </c>
      <c r="CC48" s="6">
        <v>1056.5899999999999</v>
      </c>
      <c r="CD48" s="6">
        <f>CC48*1.08</f>
        <v>1141.1171999999999</v>
      </c>
      <c r="CE48" s="6">
        <f t="shared" si="28"/>
        <v>105.65899999999999</v>
      </c>
      <c r="CF48" s="6">
        <f t="shared" si="29"/>
        <v>31.697699999999998</v>
      </c>
      <c r="CG48" s="6">
        <f t="shared" si="30"/>
        <v>1193.9466999999997</v>
      </c>
      <c r="CH48" s="6">
        <v>501</v>
      </c>
      <c r="CI48" s="6">
        <f>CG48*1.05</f>
        <v>1253.6440349999998</v>
      </c>
      <c r="CJ48" s="6">
        <v>0</v>
      </c>
      <c r="CK48" s="6">
        <f>CI48*1.2</f>
        <v>1504.3728419999998</v>
      </c>
      <c r="CL48" s="6">
        <f t="shared" si="31"/>
        <v>310.42614200000003</v>
      </c>
      <c r="CM48" s="6">
        <f t="shared" si="32"/>
        <v>1504.3728419999998</v>
      </c>
      <c r="CN48" t="s">
        <v>118</v>
      </c>
      <c r="CO48" t="s">
        <v>446</v>
      </c>
      <c r="CP48">
        <f t="shared" ca="1" si="33"/>
        <v>0.95377368627295533</v>
      </c>
      <c r="CQ48">
        <v>1</v>
      </c>
      <c r="CR48" s="10" t="str">
        <f t="shared" si="15"/>
        <v>20.12.2025 22:00</v>
      </c>
    </row>
    <row r="49" spans="1:96" x14ac:dyDescent="0.35">
      <c r="A49">
        <v>1222603057</v>
      </c>
      <c r="B49" t="s">
        <v>496</v>
      </c>
      <c r="C49" t="s">
        <v>479</v>
      </c>
      <c r="D49" t="s">
        <v>93</v>
      </c>
      <c r="E49">
        <v>4000</v>
      </c>
      <c r="F49" t="s">
        <v>94</v>
      </c>
      <c r="G49" t="s">
        <v>95</v>
      </c>
      <c r="H49" t="s">
        <v>96</v>
      </c>
      <c r="I49" t="s">
        <v>322</v>
      </c>
      <c r="J49" t="s">
        <v>176</v>
      </c>
      <c r="K49" s="6">
        <f t="shared" si="19"/>
        <v>1879.3606752000001</v>
      </c>
      <c r="L49" t="s">
        <v>99</v>
      </c>
      <c r="M49" t="s">
        <v>100</v>
      </c>
      <c r="N49" t="s">
        <v>323</v>
      </c>
      <c r="O49" t="s">
        <v>96</v>
      </c>
      <c r="P49" t="s">
        <v>96</v>
      </c>
      <c r="Q49" t="s">
        <v>480</v>
      </c>
      <c r="R49" t="s">
        <v>96</v>
      </c>
      <c r="S49" t="s">
        <v>104</v>
      </c>
      <c r="T49">
        <v>0</v>
      </c>
      <c r="U49">
        <v>30</v>
      </c>
      <c r="V49">
        <v>30</v>
      </c>
      <c r="W49" t="s">
        <v>105</v>
      </c>
      <c r="X49" t="s">
        <v>106</v>
      </c>
      <c r="Y49" t="s">
        <v>107</v>
      </c>
      <c r="Z49" t="s">
        <v>108</v>
      </c>
      <c r="AA49">
        <v>564</v>
      </c>
      <c r="AB49">
        <v>579</v>
      </c>
      <c r="AC49" t="s">
        <v>109</v>
      </c>
      <c r="AD49" t="s">
        <v>468</v>
      </c>
      <c r="AE49" s="3">
        <v>610910000000</v>
      </c>
      <c r="AF49" t="s">
        <v>141</v>
      </c>
      <c r="AG49" t="s">
        <v>325</v>
      </c>
      <c r="AH49" t="s">
        <v>142</v>
      </c>
      <c r="AI49">
        <v>20</v>
      </c>
      <c r="AJ49">
        <v>188</v>
      </c>
      <c r="AK49">
        <v>193</v>
      </c>
      <c r="AL49" t="s">
        <v>113</v>
      </c>
      <c r="AM49" s="6">
        <v>303</v>
      </c>
      <c r="AN49" s="6">
        <v>1251.04</v>
      </c>
      <c r="AO49" s="6">
        <f t="shared" si="20"/>
        <v>30.3</v>
      </c>
      <c r="AP49" s="6">
        <f t="shared" si="21"/>
        <v>9.09</v>
      </c>
      <c r="AQ49" s="6">
        <f t="shared" si="22"/>
        <v>342.39</v>
      </c>
      <c r="AR49">
        <v>101</v>
      </c>
      <c r="AS49" s="6">
        <f>AQ49*1.12</f>
        <v>383.47680000000003</v>
      </c>
      <c r="AT49" s="6">
        <v>0</v>
      </c>
      <c r="AU49" s="6">
        <f>AS49*1.2</f>
        <v>460.17216000000002</v>
      </c>
      <c r="AV49" s="6">
        <f t="shared" si="36"/>
        <v>117.78216000000003</v>
      </c>
      <c r="AW49" s="6">
        <f t="shared" si="37"/>
        <v>460.17216000000002</v>
      </c>
      <c r="AX49" t="s">
        <v>118</v>
      </c>
      <c r="AY49" t="s">
        <v>481</v>
      </c>
      <c r="AZ49" s="3">
        <v>620342000000</v>
      </c>
      <c r="BA49" t="s">
        <v>144</v>
      </c>
      <c r="BB49" t="s">
        <v>325</v>
      </c>
      <c r="BC49" t="s">
        <v>142</v>
      </c>
      <c r="BD49">
        <v>17</v>
      </c>
      <c r="BE49">
        <v>188</v>
      </c>
      <c r="BF49">
        <v>193</v>
      </c>
      <c r="BG49" t="s">
        <v>113</v>
      </c>
      <c r="BH49" s="6">
        <v>567.9</v>
      </c>
      <c r="BI49" s="6">
        <v>1251.04</v>
      </c>
      <c r="BJ49" s="6">
        <f t="shared" si="23"/>
        <v>56.79</v>
      </c>
      <c r="BK49" s="6">
        <f t="shared" si="24"/>
        <v>17.036999999999999</v>
      </c>
      <c r="BL49" s="6">
        <f t="shared" si="25"/>
        <v>641.72699999999998</v>
      </c>
      <c r="BM49" s="6">
        <v>101</v>
      </c>
      <c r="BN49" s="6">
        <f>BL49*1.12</f>
        <v>718.73424</v>
      </c>
      <c r="BO49" s="6">
        <v>0</v>
      </c>
      <c r="BP49" s="6">
        <f>BN49*1.2</f>
        <v>862.481088</v>
      </c>
      <c r="BQ49" s="6">
        <f t="shared" si="26"/>
        <v>220.75408800000002</v>
      </c>
      <c r="BR49" s="6">
        <f t="shared" si="27"/>
        <v>862.481088</v>
      </c>
      <c r="BS49" t="s">
        <v>118</v>
      </c>
      <c r="BT49" t="s">
        <v>482</v>
      </c>
      <c r="BU49" s="3">
        <v>520512000000</v>
      </c>
      <c r="BV49" t="s">
        <v>146</v>
      </c>
      <c r="BW49" t="s">
        <v>325</v>
      </c>
      <c r="BX49" t="s">
        <v>142</v>
      </c>
      <c r="BY49">
        <v>5</v>
      </c>
      <c r="BZ49">
        <v>188</v>
      </c>
      <c r="CA49">
        <v>193</v>
      </c>
      <c r="CB49" t="s">
        <v>113</v>
      </c>
      <c r="CC49" s="6">
        <v>380.14</v>
      </c>
      <c r="CD49" s="6">
        <v>1251.04</v>
      </c>
      <c r="CE49" s="6">
        <f t="shared" si="28"/>
        <v>38.014000000000003</v>
      </c>
      <c r="CF49" s="6">
        <f t="shared" si="29"/>
        <v>11.404199999999999</v>
      </c>
      <c r="CG49" s="6">
        <f t="shared" si="30"/>
        <v>429.5582</v>
      </c>
      <c r="CH49" s="6">
        <v>101</v>
      </c>
      <c r="CI49" s="6">
        <f>CG49*1.08</f>
        <v>463.92285600000002</v>
      </c>
      <c r="CJ49" s="6">
        <v>0</v>
      </c>
      <c r="CK49" s="6">
        <f>CI49*1.2</f>
        <v>556.70742719999998</v>
      </c>
      <c r="CL49" s="6">
        <f t="shared" si="31"/>
        <v>127.14922719999998</v>
      </c>
      <c r="CM49" s="6">
        <f t="shared" si="32"/>
        <v>556.70742719999998</v>
      </c>
      <c r="CN49" t="s">
        <v>118</v>
      </c>
      <c r="CO49" t="s">
        <v>483</v>
      </c>
      <c r="CP49">
        <f t="shared" ca="1" si="33"/>
        <v>0.68471666147565347</v>
      </c>
      <c r="CQ49">
        <v>1</v>
      </c>
      <c r="CR49" s="10" t="str">
        <f t="shared" si="15"/>
        <v>20.12.2025 22:00</v>
      </c>
    </row>
    <row r="50" spans="1:96" x14ac:dyDescent="0.35">
      <c r="A50">
        <v>1222603058</v>
      </c>
      <c r="B50" t="s">
        <v>502</v>
      </c>
      <c r="C50" t="s">
        <v>454</v>
      </c>
      <c r="D50" t="s">
        <v>93</v>
      </c>
      <c r="E50">
        <v>4000</v>
      </c>
      <c r="F50" t="s">
        <v>94</v>
      </c>
      <c r="G50" t="s">
        <v>95</v>
      </c>
      <c r="H50" t="s">
        <v>96</v>
      </c>
      <c r="I50" t="s">
        <v>285</v>
      </c>
      <c r="J50" t="s">
        <v>176</v>
      </c>
      <c r="K50" s="6">
        <f t="shared" si="19"/>
        <v>4364.0011044000003</v>
      </c>
      <c r="L50" t="s">
        <v>99</v>
      </c>
      <c r="M50" t="s">
        <v>100</v>
      </c>
      <c r="N50" t="s">
        <v>286</v>
      </c>
      <c r="O50" t="s">
        <v>96</v>
      </c>
      <c r="P50" t="s">
        <v>96</v>
      </c>
      <c r="Q50" t="s">
        <v>455</v>
      </c>
      <c r="R50" t="s">
        <v>288</v>
      </c>
      <c r="S50" t="s">
        <v>104</v>
      </c>
      <c r="T50">
        <v>0</v>
      </c>
      <c r="U50">
        <v>30</v>
      </c>
      <c r="V50">
        <v>30</v>
      </c>
      <c r="W50" t="s">
        <v>105</v>
      </c>
      <c r="X50" t="s">
        <v>106</v>
      </c>
      <c r="Y50" t="s">
        <v>107</v>
      </c>
      <c r="Z50" t="s">
        <v>108</v>
      </c>
      <c r="AA50">
        <v>540</v>
      </c>
      <c r="AB50">
        <v>555</v>
      </c>
      <c r="AC50" t="s">
        <v>109</v>
      </c>
      <c r="AD50" t="s">
        <v>128</v>
      </c>
      <c r="AE50" s="3">
        <v>940360100000</v>
      </c>
      <c r="AF50" t="s">
        <v>181</v>
      </c>
      <c r="AG50" t="s">
        <v>288</v>
      </c>
      <c r="AH50" t="s">
        <v>182</v>
      </c>
      <c r="AI50">
        <v>18</v>
      </c>
      <c r="AJ50">
        <v>180</v>
      </c>
      <c r="AK50">
        <v>185</v>
      </c>
      <c r="AL50" t="s">
        <v>113</v>
      </c>
      <c r="AM50" s="6">
        <v>875.63</v>
      </c>
      <c r="AN50" s="6">
        <v>3048.1</v>
      </c>
      <c r="AO50" s="6">
        <f t="shared" si="20"/>
        <v>87.563000000000002</v>
      </c>
      <c r="AP50" s="6">
        <f t="shared" si="21"/>
        <v>26.268899999999999</v>
      </c>
      <c r="AQ50" s="6">
        <f t="shared" si="22"/>
        <v>989.46190000000001</v>
      </c>
      <c r="AR50">
        <v>501</v>
      </c>
      <c r="AS50" s="6">
        <f>AQ50*1.05</f>
        <v>1038.9349950000001</v>
      </c>
      <c r="AT50" s="6">
        <v>0</v>
      </c>
      <c r="AU50" s="6">
        <f>AS50*1.2</f>
        <v>1246.721994</v>
      </c>
      <c r="AV50" s="6">
        <f t="shared" si="36"/>
        <v>257.26009399999998</v>
      </c>
      <c r="AW50" s="6">
        <f t="shared" si="37"/>
        <v>1246.721994</v>
      </c>
      <c r="AX50" t="s">
        <v>118</v>
      </c>
      <c r="AY50" t="s">
        <v>456</v>
      </c>
      <c r="AZ50" s="3">
        <v>440711100000</v>
      </c>
      <c r="BA50" t="s">
        <v>184</v>
      </c>
      <c r="BB50" t="s">
        <v>288</v>
      </c>
      <c r="BC50" t="s">
        <v>103</v>
      </c>
      <c r="BD50">
        <v>9</v>
      </c>
      <c r="BE50">
        <v>180</v>
      </c>
      <c r="BF50">
        <v>185</v>
      </c>
      <c r="BG50" t="s">
        <v>113</v>
      </c>
      <c r="BH50" s="6">
        <v>1184.73</v>
      </c>
      <c r="BI50" s="6">
        <v>3048.1</v>
      </c>
      <c r="BJ50" s="6">
        <f t="shared" si="23"/>
        <v>118.47300000000001</v>
      </c>
      <c r="BK50" s="6">
        <f t="shared" si="24"/>
        <v>35.541899999999998</v>
      </c>
      <c r="BL50" s="6">
        <f t="shared" si="25"/>
        <v>1338.7448999999999</v>
      </c>
      <c r="BM50" s="6">
        <v>501</v>
      </c>
      <c r="BN50" s="6">
        <f>BL50*1.04</f>
        <v>1392.2946959999999</v>
      </c>
      <c r="BO50" s="6">
        <v>0</v>
      </c>
      <c r="BP50" s="6">
        <f>BN50*1.2</f>
        <v>1670.7536352</v>
      </c>
      <c r="BQ50" s="6">
        <f t="shared" si="26"/>
        <v>332.00873520000005</v>
      </c>
      <c r="BR50" s="6">
        <f t="shared" si="27"/>
        <v>1670.7536352</v>
      </c>
      <c r="BS50" t="s">
        <v>118</v>
      </c>
      <c r="BT50" t="s">
        <v>457</v>
      </c>
      <c r="BU50" s="3">
        <v>690721000000</v>
      </c>
      <c r="BV50" t="s">
        <v>186</v>
      </c>
      <c r="BW50" t="s">
        <v>288</v>
      </c>
      <c r="BX50" t="s">
        <v>112</v>
      </c>
      <c r="BY50">
        <v>6</v>
      </c>
      <c r="BZ50">
        <v>180</v>
      </c>
      <c r="CA50">
        <v>185</v>
      </c>
      <c r="CB50" t="s">
        <v>113</v>
      </c>
      <c r="CC50" s="6">
        <v>987.74</v>
      </c>
      <c r="CD50" s="6">
        <v>3048.1</v>
      </c>
      <c r="CE50" s="6">
        <f t="shared" si="28"/>
        <v>98.774000000000001</v>
      </c>
      <c r="CF50" s="6">
        <f t="shared" si="29"/>
        <v>29.632199999999997</v>
      </c>
      <c r="CG50" s="6">
        <f t="shared" si="30"/>
        <v>1116.1462000000001</v>
      </c>
      <c r="CH50" s="6">
        <v>501</v>
      </c>
      <c r="CI50" s="6">
        <f>CG50*1.08</f>
        <v>1205.4378960000001</v>
      </c>
      <c r="CJ50" s="6">
        <v>0</v>
      </c>
      <c r="CK50" s="6">
        <f>CI50*1.2</f>
        <v>1446.5254752000001</v>
      </c>
      <c r="CL50" s="6">
        <f t="shared" si="31"/>
        <v>330.37927519999994</v>
      </c>
      <c r="CM50" s="6">
        <f t="shared" si="32"/>
        <v>1446.5254752000001</v>
      </c>
      <c r="CN50" t="s">
        <v>118</v>
      </c>
      <c r="CO50" t="s">
        <v>458</v>
      </c>
      <c r="CP50">
        <f t="shared" ca="1" si="33"/>
        <v>0.69590792719270356</v>
      </c>
      <c r="CQ50">
        <v>1</v>
      </c>
      <c r="CR50" s="10" t="str">
        <f t="shared" si="15"/>
        <v>20.12.2025 22:00</v>
      </c>
    </row>
    <row r="51" spans="1:96" x14ac:dyDescent="0.35">
      <c r="A51">
        <v>1222603059</v>
      </c>
      <c r="B51" t="s">
        <v>508</v>
      </c>
      <c r="C51" t="s">
        <v>248</v>
      </c>
      <c r="D51" t="s">
        <v>93</v>
      </c>
      <c r="E51">
        <v>4000</v>
      </c>
      <c r="F51" t="s">
        <v>94</v>
      </c>
      <c r="G51" t="s">
        <v>95</v>
      </c>
      <c r="H51" t="s">
        <v>96</v>
      </c>
      <c r="I51" t="s">
        <v>249</v>
      </c>
      <c r="J51" t="s">
        <v>176</v>
      </c>
      <c r="K51" s="6">
        <f t="shared" si="19"/>
        <v>4310.9457060000004</v>
      </c>
      <c r="L51" t="s">
        <v>99</v>
      </c>
      <c r="M51" t="s">
        <v>100</v>
      </c>
      <c r="N51" t="s">
        <v>250</v>
      </c>
      <c r="O51" t="s">
        <v>96</v>
      </c>
      <c r="P51" t="s">
        <v>96</v>
      </c>
      <c r="Q51" t="s">
        <v>251</v>
      </c>
      <c r="R51" t="s">
        <v>252</v>
      </c>
      <c r="S51" t="s">
        <v>104</v>
      </c>
      <c r="T51">
        <v>0</v>
      </c>
      <c r="U51">
        <v>30</v>
      </c>
      <c r="V51">
        <v>30</v>
      </c>
      <c r="W51" t="s">
        <v>105</v>
      </c>
      <c r="X51" t="s">
        <v>106</v>
      </c>
      <c r="Y51" t="s">
        <v>107</v>
      </c>
      <c r="Z51" t="s">
        <v>108</v>
      </c>
      <c r="AA51">
        <v>372</v>
      </c>
      <c r="AB51">
        <v>387</v>
      </c>
      <c r="AC51" t="s">
        <v>109</v>
      </c>
      <c r="AD51" t="s">
        <v>128</v>
      </c>
      <c r="AE51" s="3">
        <v>940360100000</v>
      </c>
      <c r="AF51" t="s">
        <v>181</v>
      </c>
      <c r="AG51" t="s">
        <v>252</v>
      </c>
      <c r="AH51" t="s">
        <v>182</v>
      </c>
      <c r="AI51">
        <v>18</v>
      </c>
      <c r="AJ51">
        <v>124</v>
      </c>
      <c r="AK51">
        <v>129</v>
      </c>
      <c r="AL51" t="s">
        <v>113</v>
      </c>
      <c r="AM51" s="6">
        <v>1047.23</v>
      </c>
      <c r="AN51" s="6">
        <f>AM51*1.08</f>
        <v>1131.0084000000002</v>
      </c>
      <c r="AO51" s="6">
        <f t="shared" si="20"/>
        <v>104.72300000000001</v>
      </c>
      <c r="AP51" s="6">
        <f t="shared" si="21"/>
        <v>31.416899999999998</v>
      </c>
      <c r="AQ51" s="6">
        <f t="shared" si="22"/>
        <v>1183.3698999999999</v>
      </c>
      <c r="AR51">
        <v>501</v>
      </c>
      <c r="AS51" s="6">
        <f>AQ51*1.05</f>
        <v>1242.538395</v>
      </c>
      <c r="AT51" s="6">
        <v>0</v>
      </c>
      <c r="AU51" s="6">
        <f>AS51*1.2</f>
        <v>1491.0460740000001</v>
      </c>
      <c r="AV51" s="6">
        <f t="shared" si="36"/>
        <v>307.67617400000017</v>
      </c>
      <c r="AW51" s="6">
        <f t="shared" si="37"/>
        <v>1491.0460740000001</v>
      </c>
      <c r="AX51" t="s">
        <v>118</v>
      </c>
      <c r="AY51" t="s">
        <v>253</v>
      </c>
      <c r="AZ51" s="3">
        <v>440711100000</v>
      </c>
      <c r="BA51" t="s">
        <v>184</v>
      </c>
      <c r="BB51" t="s">
        <v>252</v>
      </c>
      <c r="BC51" t="s">
        <v>103</v>
      </c>
      <c r="BD51">
        <v>12</v>
      </c>
      <c r="BE51">
        <v>124</v>
      </c>
      <c r="BF51">
        <v>129</v>
      </c>
      <c r="BG51" t="s">
        <v>113</v>
      </c>
      <c r="BH51" s="6">
        <v>964.18</v>
      </c>
      <c r="BI51" s="6">
        <f>BH51*1.08</f>
        <v>1041.3144</v>
      </c>
      <c r="BJ51" s="6">
        <f t="shared" si="23"/>
        <v>96.418000000000006</v>
      </c>
      <c r="BK51" s="6">
        <f t="shared" si="24"/>
        <v>28.925399999999996</v>
      </c>
      <c r="BL51" s="6">
        <f t="shared" si="25"/>
        <v>1089.5234</v>
      </c>
      <c r="BM51" s="6">
        <v>501</v>
      </c>
      <c r="BN51" s="6">
        <f>BL51*1.04</f>
        <v>1133.1043360000001</v>
      </c>
      <c r="BO51" s="6">
        <v>0</v>
      </c>
      <c r="BP51" s="6">
        <f>BN51*1.2</f>
        <v>1359.7252032000001</v>
      </c>
      <c r="BQ51" s="6">
        <f t="shared" si="26"/>
        <v>270.20180320000009</v>
      </c>
      <c r="BR51" s="6">
        <f t="shared" si="27"/>
        <v>1359.7252032000001</v>
      </c>
      <c r="BS51" t="s">
        <v>118</v>
      </c>
      <c r="BT51" t="s">
        <v>254</v>
      </c>
      <c r="BU51" s="3">
        <v>690721000000</v>
      </c>
      <c r="BV51" t="s">
        <v>186</v>
      </c>
      <c r="BW51" t="s">
        <v>252</v>
      </c>
      <c r="BX51" t="s">
        <v>112</v>
      </c>
      <c r="BY51">
        <v>5</v>
      </c>
      <c r="BZ51">
        <v>124</v>
      </c>
      <c r="CA51">
        <v>129</v>
      </c>
      <c r="CB51" t="s">
        <v>113</v>
      </c>
      <c r="CC51" s="6">
        <v>997.06</v>
      </c>
      <c r="CD51" s="6">
        <f>CC51*1.08</f>
        <v>1076.8248000000001</v>
      </c>
      <c r="CE51" s="6">
        <f t="shared" si="28"/>
        <v>99.706000000000003</v>
      </c>
      <c r="CF51" s="6">
        <f t="shared" si="29"/>
        <v>29.911799999999996</v>
      </c>
      <c r="CG51" s="6">
        <f t="shared" si="30"/>
        <v>1126.6777999999999</v>
      </c>
      <c r="CH51" s="6">
        <v>501</v>
      </c>
      <c r="CI51" s="6">
        <f>CG51*1.08</f>
        <v>1216.8120240000001</v>
      </c>
      <c r="CJ51" s="6">
        <v>0</v>
      </c>
      <c r="CK51" s="6">
        <f>CI51*1.2</f>
        <v>1460.1744288</v>
      </c>
      <c r="CL51" s="6">
        <f t="shared" si="31"/>
        <v>333.49662880000005</v>
      </c>
      <c r="CM51" s="6">
        <f t="shared" si="32"/>
        <v>1460.1744288</v>
      </c>
      <c r="CN51" t="s">
        <v>118</v>
      </c>
      <c r="CO51" t="s">
        <v>255</v>
      </c>
      <c r="CP51">
        <f t="shared" ca="1" si="33"/>
        <v>0.89584070138083649</v>
      </c>
      <c r="CQ51">
        <v>1</v>
      </c>
      <c r="CR51" s="10" t="str">
        <f t="shared" si="15"/>
        <v>20.12.2025 22:00</v>
      </c>
    </row>
    <row r="52" spans="1:96" x14ac:dyDescent="0.35">
      <c r="A52">
        <v>1222603060</v>
      </c>
      <c r="B52" t="s">
        <v>514</v>
      </c>
      <c r="C52" t="s">
        <v>369</v>
      </c>
      <c r="D52" t="s">
        <v>93</v>
      </c>
      <c r="E52">
        <v>4000</v>
      </c>
      <c r="F52" t="s">
        <v>94</v>
      </c>
      <c r="G52" t="s">
        <v>95</v>
      </c>
      <c r="H52" t="s">
        <v>96</v>
      </c>
      <c r="I52" t="s">
        <v>137</v>
      </c>
      <c r="J52" t="s">
        <v>98</v>
      </c>
      <c r="K52" s="6">
        <f t="shared" si="19"/>
        <v>3988.8502799999997</v>
      </c>
      <c r="L52" t="s">
        <v>99</v>
      </c>
      <c r="M52" t="s">
        <v>100</v>
      </c>
      <c r="N52" t="s">
        <v>138</v>
      </c>
      <c r="O52" t="s">
        <v>96</v>
      </c>
      <c r="P52" t="s">
        <v>96</v>
      </c>
      <c r="Q52" t="s">
        <v>370</v>
      </c>
      <c r="R52" t="s">
        <v>140</v>
      </c>
      <c r="S52" t="s">
        <v>104</v>
      </c>
      <c r="T52">
        <v>0</v>
      </c>
      <c r="U52">
        <v>30</v>
      </c>
      <c r="V52">
        <v>30</v>
      </c>
      <c r="W52" t="s">
        <v>105</v>
      </c>
      <c r="X52" t="s">
        <v>106</v>
      </c>
      <c r="Y52" t="s">
        <v>107</v>
      </c>
      <c r="Z52" t="s">
        <v>108</v>
      </c>
      <c r="AA52">
        <v>456</v>
      </c>
      <c r="AB52">
        <v>471</v>
      </c>
      <c r="AC52" t="s">
        <v>109</v>
      </c>
      <c r="AD52" t="s">
        <v>193</v>
      </c>
      <c r="AE52" s="3">
        <v>940360100000</v>
      </c>
      <c r="AF52" t="s">
        <v>181</v>
      </c>
      <c r="AG52" t="s">
        <v>140</v>
      </c>
      <c r="AH52" t="s">
        <v>182</v>
      </c>
      <c r="AI52">
        <v>6</v>
      </c>
      <c r="AJ52">
        <v>152</v>
      </c>
      <c r="AK52">
        <v>157</v>
      </c>
      <c r="AL52" t="s">
        <v>113</v>
      </c>
      <c r="AM52" s="6">
        <v>1099.24</v>
      </c>
      <c r="AN52" s="6">
        <f>AM52*1.08</f>
        <v>1187.1792</v>
      </c>
      <c r="AO52" s="6">
        <f t="shared" si="20"/>
        <v>109.92400000000001</v>
      </c>
      <c r="AP52" s="6">
        <f t="shared" si="21"/>
        <v>32.977199999999996</v>
      </c>
      <c r="AQ52" s="6">
        <f t="shared" si="22"/>
        <v>1242.1412</v>
      </c>
      <c r="AR52">
        <v>501</v>
      </c>
      <c r="AS52" s="6">
        <v>0</v>
      </c>
      <c r="AT52" s="6">
        <v>0</v>
      </c>
      <c r="AU52" s="6">
        <f>AQ52*1.2</f>
        <v>1490.56944</v>
      </c>
      <c r="AV52" s="6">
        <f t="shared" si="36"/>
        <v>248.42823999999996</v>
      </c>
      <c r="AW52" s="6">
        <f t="shared" si="37"/>
        <v>1490.56944</v>
      </c>
      <c r="AX52" t="s">
        <v>114</v>
      </c>
      <c r="AY52" t="s">
        <v>371</v>
      </c>
      <c r="AZ52" s="3">
        <v>440711100000</v>
      </c>
      <c r="BA52" t="s">
        <v>184</v>
      </c>
      <c r="BB52" t="s">
        <v>140</v>
      </c>
      <c r="BC52" t="s">
        <v>103</v>
      </c>
      <c r="BD52">
        <v>18</v>
      </c>
      <c r="BE52">
        <v>152</v>
      </c>
      <c r="BF52">
        <v>157</v>
      </c>
      <c r="BG52" t="s">
        <v>113</v>
      </c>
      <c r="BH52" s="6">
        <v>762.09</v>
      </c>
      <c r="BI52" s="6">
        <f>BH52*1.08</f>
        <v>823.05720000000008</v>
      </c>
      <c r="BJ52" s="6">
        <f t="shared" si="23"/>
        <v>76.209000000000003</v>
      </c>
      <c r="BK52" s="6">
        <f t="shared" si="24"/>
        <v>22.8627</v>
      </c>
      <c r="BL52" s="6">
        <f t="shared" si="25"/>
        <v>861.1617</v>
      </c>
      <c r="BM52" s="6">
        <v>501</v>
      </c>
      <c r="BN52" s="6">
        <v>0</v>
      </c>
      <c r="BO52" s="6">
        <v>0</v>
      </c>
      <c r="BP52" s="6">
        <f>BL52*1.2</f>
        <v>1033.3940399999999</v>
      </c>
      <c r="BQ52" s="6">
        <f t="shared" si="26"/>
        <v>172.23233999999991</v>
      </c>
      <c r="BR52" s="6">
        <f t="shared" si="27"/>
        <v>1033.3940399999999</v>
      </c>
      <c r="BS52" t="s">
        <v>114</v>
      </c>
      <c r="BT52" t="s">
        <v>372</v>
      </c>
      <c r="BU52" s="3">
        <v>690721000000</v>
      </c>
      <c r="BV52" t="s">
        <v>186</v>
      </c>
      <c r="BW52" t="s">
        <v>140</v>
      </c>
      <c r="BX52" t="s">
        <v>112</v>
      </c>
      <c r="BY52">
        <v>13</v>
      </c>
      <c r="BZ52">
        <v>152</v>
      </c>
      <c r="CA52">
        <v>157</v>
      </c>
      <c r="CB52" t="s">
        <v>113</v>
      </c>
      <c r="CC52" s="6">
        <v>1080.3</v>
      </c>
      <c r="CD52" s="6">
        <f>CC52*1.08</f>
        <v>1166.7239999999999</v>
      </c>
      <c r="CE52" s="6">
        <f t="shared" si="28"/>
        <v>108.03</v>
      </c>
      <c r="CF52" s="6">
        <f t="shared" si="29"/>
        <v>32.408999999999999</v>
      </c>
      <c r="CG52" s="6">
        <f t="shared" si="30"/>
        <v>1220.739</v>
      </c>
      <c r="CH52" s="6">
        <v>501</v>
      </c>
      <c r="CI52" s="6">
        <v>0</v>
      </c>
      <c r="CJ52" s="6">
        <v>0</v>
      </c>
      <c r="CK52" s="6">
        <f>CG52*1.2</f>
        <v>1464.8868</v>
      </c>
      <c r="CL52" s="6">
        <f t="shared" si="31"/>
        <v>244.14779999999996</v>
      </c>
      <c r="CM52" s="6">
        <f t="shared" si="32"/>
        <v>1464.8868</v>
      </c>
      <c r="CN52" t="s">
        <v>114</v>
      </c>
      <c r="CO52" t="s">
        <v>373</v>
      </c>
      <c r="CP52">
        <f t="shared" ca="1" si="33"/>
        <v>3.0658586560611822E-2</v>
      </c>
      <c r="CQ52">
        <v>1</v>
      </c>
      <c r="CR52" s="10" t="str">
        <f t="shared" si="15"/>
        <v>20.12.2025 22:00</v>
      </c>
    </row>
    <row r="53" spans="1:96" x14ac:dyDescent="0.35">
      <c r="A53">
        <v>1222603061</v>
      </c>
      <c r="B53" t="s">
        <v>520</v>
      </c>
      <c r="C53" t="s">
        <v>239</v>
      </c>
      <c r="D53" t="s">
        <v>93</v>
      </c>
      <c r="E53">
        <v>4000</v>
      </c>
      <c r="F53" t="s">
        <v>94</v>
      </c>
      <c r="G53" t="s">
        <v>95</v>
      </c>
      <c r="H53" t="s">
        <v>96</v>
      </c>
      <c r="I53" t="s">
        <v>240</v>
      </c>
      <c r="J53" t="s">
        <v>176</v>
      </c>
      <c r="K53" s="6">
        <f t="shared" si="19"/>
        <v>5936.0085159999999</v>
      </c>
      <c r="L53" t="s">
        <v>99</v>
      </c>
      <c r="M53" t="s">
        <v>100</v>
      </c>
      <c r="N53" t="s">
        <v>241</v>
      </c>
      <c r="O53" t="s">
        <v>96</v>
      </c>
      <c r="P53" t="s">
        <v>96</v>
      </c>
      <c r="Q53" t="s">
        <v>242</v>
      </c>
      <c r="R53" t="s">
        <v>96</v>
      </c>
      <c r="S53" t="s">
        <v>104</v>
      </c>
      <c r="T53">
        <v>0</v>
      </c>
      <c r="U53">
        <v>30</v>
      </c>
      <c r="V53">
        <v>30</v>
      </c>
      <c r="W53" t="s">
        <v>105</v>
      </c>
      <c r="X53" t="s">
        <v>106</v>
      </c>
      <c r="Y53" t="s">
        <v>107</v>
      </c>
      <c r="Z53" t="s">
        <v>108</v>
      </c>
      <c r="AA53">
        <v>366</v>
      </c>
      <c r="AB53">
        <v>381</v>
      </c>
      <c r="AC53" t="s">
        <v>109</v>
      </c>
      <c r="AD53" t="s">
        <v>166</v>
      </c>
      <c r="AE53" s="3">
        <v>401110000000</v>
      </c>
      <c r="AF53" t="s">
        <v>167</v>
      </c>
      <c r="AG53" t="s">
        <v>243</v>
      </c>
      <c r="AH53" t="s">
        <v>112</v>
      </c>
      <c r="AI53">
        <v>9</v>
      </c>
      <c r="AJ53">
        <v>122</v>
      </c>
      <c r="AK53">
        <v>127</v>
      </c>
      <c r="AL53" t="s">
        <v>113</v>
      </c>
      <c r="AM53" s="6">
        <v>1325.64</v>
      </c>
      <c r="AN53" s="6">
        <v>4203.6899999999996</v>
      </c>
      <c r="AO53" s="6">
        <f t="shared" si="20"/>
        <v>132.56400000000002</v>
      </c>
      <c r="AP53" s="6">
        <f t="shared" si="21"/>
        <v>39.769200000000005</v>
      </c>
      <c r="AQ53" s="6">
        <f t="shared" si="22"/>
        <v>1497.9732000000001</v>
      </c>
      <c r="AR53">
        <v>501</v>
      </c>
      <c r="AS53" s="6">
        <f>AQ53*1.045</f>
        <v>1565.3819940000001</v>
      </c>
      <c r="AT53" s="6">
        <v>0</v>
      </c>
      <c r="AU53" s="6">
        <f>AS53*1.2</f>
        <v>1878.4583928</v>
      </c>
      <c r="AV53" s="6">
        <v>446.59</v>
      </c>
      <c r="AW53" s="6">
        <v>1955.32</v>
      </c>
      <c r="AX53" t="s">
        <v>118</v>
      </c>
      <c r="AY53" t="s">
        <v>244</v>
      </c>
      <c r="AZ53" s="3">
        <v>843141000000</v>
      </c>
      <c r="BA53" t="s">
        <v>169</v>
      </c>
      <c r="BB53" t="s">
        <v>243</v>
      </c>
      <c r="BC53" t="s">
        <v>112</v>
      </c>
      <c r="BD53">
        <v>18</v>
      </c>
      <c r="BE53">
        <v>122</v>
      </c>
      <c r="BF53">
        <v>127</v>
      </c>
      <c r="BG53" t="s">
        <v>113</v>
      </c>
      <c r="BH53" s="6">
        <v>1431.92</v>
      </c>
      <c r="BI53" s="6">
        <v>4203.6899999999996</v>
      </c>
      <c r="BJ53" s="6">
        <f t="shared" si="23"/>
        <v>143.19200000000001</v>
      </c>
      <c r="BK53" s="6">
        <f t="shared" si="24"/>
        <v>42.957599999999999</v>
      </c>
      <c r="BL53" s="6">
        <f t="shared" si="25"/>
        <v>1618.0696</v>
      </c>
      <c r="BM53" s="6">
        <v>501</v>
      </c>
      <c r="BN53" s="6">
        <f>BL53*1.02</f>
        <v>1650.4309920000001</v>
      </c>
      <c r="BO53" s="6">
        <v>0</v>
      </c>
      <c r="BP53" s="6">
        <f>BN53*1.2</f>
        <v>1980.5171903999999</v>
      </c>
      <c r="BQ53" s="6">
        <f t="shared" si="26"/>
        <v>362.44759039999985</v>
      </c>
      <c r="BR53" s="6">
        <f t="shared" si="27"/>
        <v>1980.5171903999999</v>
      </c>
      <c r="BS53" t="s">
        <v>118</v>
      </c>
      <c r="BT53" t="s">
        <v>245</v>
      </c>
      <c r="BU53" s="3">
        <v>850421000000</v>
      </c>
      <c r="BV53" t="s">
        <v>171</v>
      </c>
      <c r="BW53" t="s">
        <v>243</v>
      </c>
      <c r="BX53" t="s">
        <v>112</v>
      </c>
      <c r="BY53">
        <v>15</v>
      </c>
      <c r="BZ53">
        <v>122</v>
      </c>
      <c r="CA53">
        <v>127</v>
      </c>
      <c r="CB53" t="s">
        <v>113</v>
      </c>
      <c r="CC53" s="6">
        <v>1446.13</v>
      </c>
      <c r="CD53" s="6">
        <v>4203.6899999999996</v>
      </c>
      <c r="CE53" s="6">
        <f t="shared" si="28"/>
        <v>144.61300000000003</v>
      </c>
      <c r="CF53" s="6">
        <f t="shared" si="29"/>
        <v>43.383900000000004</v>
      </c>
      <c r="CG53" s="6">
        <f t="shared" si="30"/>
        <v>1634.1269000000002</v>
      </c>
      <c r="CH53" s="6">
        <v>501</v>
      </c>
      <c r="CI53" s="6">
        <f>CG53*1.02</f>
        <v>1666.8094380000002</v>
      </c>
      <c r="CJ53" s="6">
        <v>0</v>
      </c>
      <c r="CK53" s="6">
        <f>CI53*1.2</f>
        <v>2000.1713256000003</v>
      </c>
      <c r="CL53" s="6">
        <f t="shared" si="31"/>
        <v>366.04442560000007</v>
      </c>
      <c r="CM53" s="6">
        <f t="shared" si="32"/>
        <v>2000.1713256000003</v>
      </c>
      <c r="CN53" t="s">
        <v>118</v>
      </c>
      <c r="CO53" t="s">
        <v>246</v>
      </c>
      <c r="CP53">
        <f t="shared" ca="1" si="33"/>
        <v>0.6301503474860447</v>
      </c>
      <c r="CQ53">
        <v>1</v>
      </c>
      <c r="CR53" s="10" t="str">
        <f t="shared" si="15"/>
        <v>20.12.2025 22:00</v>
      </c>
    </row>
    <row r="54" spans="1:96" x14ac:dyDescent="0.35">
      <c r="A54">
        <v>1222603062</v>
      </c>
      <c r="B54" t="s">
        <v>526</v>
      </c>
      <c r="C54" t="s">
        <v>363</v>
      </c>
      <c r="D54" t="s">
        <v>93</v>
      </c>
      <c r="E54">
        <v>4000</v>
      </c>
      <c r="F54" t="s">
        <v>94</v>
      </c>
      <c r="G54" t="s">
        <v>95</v>
      </c>
      <c r="H54" t="s">
        <v>96</v>
      </c>
      <c r="I54" t="s">
        <v>124</v>
      </c>
      <c r="J54" t="s">
        <v>98</v>
      </c>
      <c r="K54" s="6">
        <f t="shared" si="19"/>
        <v>5991.5194351999999</v>
      </c>
      <c r="L54" t="s">
        <v>99</v>
      </c>
      <c r="M54" t="s">
        <v>100</v>
      </c>
      <c r="N54" t="s">
        <v>125</v>
      </c>
      <c r="O54" t="s">
        <v>96</v>
      </c>
      <c r="P54" t="s">
        <v>96</v>
      </c>
      <c r="Q54" t="s">
        <v>364</v>
      </c>
      <c r="R54" t="s">
        <v>127</v>
      </c>
      <c r="S54" t="s">
        <v>104</v>
      </c>
      <c r="T54">
        <v>0</v>
      </c>
      <c r="U54">
        <v>30</v>
      </c>
      <c r="V54">
        <v>30</v>
      </c>
      <c r="W54" t="s">
        <v>105</v>
      </c>
      <c r="X54" t="s">
        <v>106</v>
      </c>
      <c r="Y54" t="s">
        <v>107</v>
      </c>
      <c r="Z54" t="s">
        <v>108</v>
      </c>
      <c r="AA54">
        <v>450</v>
      </c>
      <c r="AB54">
        <v>465</v>
      </c>
      <c r="AC54" t="s">
        <v>109</v>
      </c>
      <c r="AD54" t="s">
        <v>207</v>
      </c>
      <c r="AE54" s="3">
        <v>401110000000</v>
      </c>
      <c r="AF54" t="s">
        <v>167</v>
      </c>
      <c r="AG54" t="s">
        <v>127</v>
      </c>
      <c r="AH54" t="s">
        <v>112</v>
      </c>
      <c r="AI54">
        <v>13</v>
      </c>
      <c r="AJ54">
        <v>150</v>
      </c>
      <c r="AK54">
        <v>155</v>
      </c>
      <c r="AL54" t="s">
        <v>113</v>
      </c>
      <c r="AM54" s="6">
        <v>944.83</v>
      </c>
      <c r="AN54" s="6">
        <f>AM54*1.08</f>
        <v>1020.4164000000001</v>
      </c>
      <c r="AO54" s="6">
        <f t="shared" si="20"/>
        <v>94.483000000000004</v>
      </c>
      <c r="AP54" s="6">
        <f t="shared" si="21"/>
        <v>28.344899999999999</v>
      </c>
      <c r="AQ54" s="6">
        <f t="shared" si="22"/>
        <v>1067.6579000000002</v>
      </c>
      <c r="AR54">
        <v>501</v>
      </c>
      <c r="AS54" s="6">
        <v>0</v>
      </c>
      <c r="AT54" s="6">
        <v>0</v>
      </c>
      <c r="AU54" s="6">
        <f>AQ54*1.2</f>
        <v>1281.1894800000002</v>
      </c>
      <c r="AV54" s="6">
        <v>598.53</v>
      </c>
      <c r="AW54" s="6">
        <v>3591.17</v>
      </c>
      <c r="AX54" t="s">
        <v>114</v>
      </c>
      <c r="AY54" t="s">
        <v>365</v>
      </c>
      <c r="AZ54" s="3">
        <v>843141000000</v>
      </c>
      <c r="BA54" t="s">
        <v>169</v>
      </c>
      <c r="BB54" t="s">
        <v>127</v>
      </c>
      <c r="BC54" t="s">
        <v>112</v>
      </c>
      <c r="BD54">
        <v>18</v>
      </c>
      <c r="BE54">
        <v>150</v>
      </c>
      <c r="BF54">
        <v>155</v>
      </c>
      <c r="BG54" t="s">
        <v>113</v>
      </c>
      <c r="BH54" s="6">
        <v>851.03</v>
      </c>
      <c r="BI54" s="6">
        <f>BH54*1.08</f>
        <v>919.11239999999998</v>
      </c>
      <c r="BJ54" s="6">
        <f t="shared" si="23"/>
        <v>85.103000000000009</v>
      </c>
      <c r="BK54" s="6">
        <f t="shared" si="24"/>
        <v>25.530899999999999</v>
      </c>
      <c r="BL54" s="6">
        <f t="shared" si="25"/>
        <v>961.66390000000001</v>
      </c>
      <c r="BM54" s="6">
        <v>501</v>
      </c>
      <c r="BN54" s="6">
        <f>BL54*1.02</f>
        <v>980.89717800000005</v>
      </c>
      <c r="BO54" s="6">
        <v>0</v>
      </c>
      <c r="BP54" s="6">
        <f>BN54*1.2</f>
        <v>1177.0766136</v>
      </c>
      <c r="BQ54" s="6">
        <f t="shared" si="26"/>
        <v>215.41271359999996</v>
      </c>
      <c r="BR54" s="6">
        <f t="shared" si="27"/>
        <v>1177.0766136</v>
      </c>
      <c r="BS54" t="s">
        <v>114</v>
      </c>
      <c r="BT54" t="s">
        <v>366</v>
      </c>
      <c r="BU54" s="3">
        <v>850421000000</v>
      </c>
      <c r="BV54" t="s">
        <v>171</v>
      </c>
      <c r="BW54" t="s">
        <v>127</v>
      </c>
      <c r="BX54" t="s">
        <v>112</v>
      </c>
      <c r="BY54">
        <v>13</v>
      </c>
      <c r="BZ54">
        <v>150</v>
      </c>
      <c r="CA54">
        <v>155</v>
      </c>
      <c r="CB54" t="s">
        <v>113</v>
      </c>
      <c r="CC54" s="6">
        <v>884.43</v>
      </c>
      <c r="CD54" s="6">
        <f>CC54*1.08</f>
        <v>955.18439999999998</v>
      </c>
      <c r="CE54" s="6">
        <f t="shared" si="28"/>
        <v>88.442999999999998</v>
      </c>
      <c r="CF54" s="6">
        <f t="shared" si="29"/>
        <v>26.532899999999998</v>
      </c>
      <c r="CG54" s="6">
        <f t="shared" si="30"/>
        <v>999.40589999999997</v>
      </c>
      <c r="CH54" s="6">
        <v>501</v>
      </c>
      <c r="CI54" s="6">
        <f>CG54*1.02</f>
        <v>1019.394018</v>
      </c>
      <c r="CJ54" s="6">
        <v>0</v>
      </c>
      <c r="CK54" s="6">
        <f>CI54*1.2</f>
        <v>1223.2728215999998</v>
      </c>
      <c r="CL54" s="6">
        <f t="shared" si="31"/>
        <v>223.86692159999984</v>
      </c>
      <c r="CM54" s="6">
        <f t="shared" si="32"/>
        <v>1223.2728215999998</v>
      </c>
      <c r="CN54" t="s">
        <v>114</v>
      </c>
      <c r="CO54" t="s">
        <v>367</v>
      </c>
      <c r="CP54">
        <f t="shared" ca="1" si="33"/>
        <v>0.77024615409248742</v>
      </c>
      <c r="CQ54">
        <v>1</v>
      </c>
      <c r="CR54" s="10" t="str">
        <f t="shared" si="15"/>
        <v>20.12.2025 22:00</v>
      </c>
    </row>
    <row r="55" spans="1:96" x14ac:dyDescent="0.35">
      <c r="A55">
        <v>1222603064</v>
      </c>
      <c r="B55" t="s">
        <v>532</v>
      </c>
      <c r="C55" t="s">
        <v>527</v>
      </c>
      <c r="D55" t="s">
        <v>93</v>
      </c>
      <c r="E55">
        <v>4000</v>
      </c>
      <c r="F55" t="s">
        <v>94</v>
      </c>
      <c r="G55" t="s">
        <v>95</v>
      </c>
      <c r="H55" t="s">
        <v>96</v>
      </c>
      <c r="I55" t="s">
        <v>162</v>
      </c>
      <c r="J55" t="s">
        <v>98</v>
      </c>
      <c r="K55" s="6">
        <f t="shared" si="19"/>
        <v>7153.4898599999997</v>
      </c>
      <c r="L55" t="s">
        <v>99</v>
      </c>
      <c r="M55" t="s">
        <v>100</v>
      </c>
      <c r="N55" t="s">
        <v>163</v>
      </c>
      <c r="O55" t="s">
        <v>96</v>
      </c>
      <c r="P55" t="s">
        <v>96</v>
      </c>
      <c r="Q55" t="s">
        <v>528</v>
      </c>
      <c r="R55" t="s">
        <v>165</v>
      </c>
      <c r="S55" t="s">
        <v>104</v>
      </c>
      <c r="T55">
        <v>0</v>
      </c>
      <c r="U55">
        <v>30</v>
      </c>
      <c r="V55">
        <v>30</v>
      </c>
      <c r="W55" t="s">
        <v>105</v>
      </c>
      <c r="X55" t="s">
        <v>106</v>
      </c>
      <c r="Y55" t="s">
        <v>107</v>
      </c>
      <c r="Z55" t="s">
        <v>108</v>
      </c>
      <c r="AA55">
        <v>612</v>
      </c>
      <c r="AB55">
        <v>627</v>
      </c>
      <c r="AC55" t="s">
        <v>109</v>
      </c>
      <c r="AD55" t="s">
        <v>180</v>
      </c>
      <c r="AE55" s="3">
        <v>847130000000</v>
      </c>
      <c r="AF55" t="s">
        <v>154</v>
      </c>
      <c r="AG55" t="s">
        <v>165</v>
      </c>
      <c r="AH55" t="s">
        <v>112</v>
      </c>
      <c r="AI55">
        <v>16</v>
      </c>
      <c r="AJ55">
        <v>204</v>
      </c>
      <c r="AK55">
        <v>209</v>
      </c>
      <c r="AL55" t="s">
        <v>113</v>
      </c>
      <c r="AM55" s="6">
        <v>1679.08</v>
      </c>
      <c r="AN55" s="6">
        <f>AM55*1.08</f>
        <v>1813.4064000000001</v>
      </c>
      <c r="AO55" s="6">
        <f t="shared" si="20"/>
        <v>167.90800000000002</v>
      </c>
      <c r="AP55" s="6">
        <f t="shared" si="21"/>
        <v>50.372399999999999</v>
      </c>
      <c r="AQ55" s="6">
        <f t="shared" si="22"/>
        <v>1897.3603999999998</v>
      </c>
      <c r="AR55">
        <v>501</v>
      </c>
      <c r="AS55" s="6">
        <v>0</v>
      </c>
      <c r="AT55" s="6">
        <v>0</v>
      </c>
      <c r="AU55" s="6">
        <f>AQ55*1.2</f>
        <v>2276.8324799999996</v>
      </c>
      <c r="AV55" s="6">
        <f>AU55-AQ55</f>
        <v>379.47207999999978</v>
      </c>
      <c r="AW55" s="6">
        <f>AU55</f>
        <v>2276.8324799999996</v>
      </c>
      <c r="AX55" t="s">
        <v>114</v>
      </c>
      <c r="AY55" t="s">
        <v>529</v>
      </c>
      <c r="AZ55" s="3">
        <v>851713000000</v>
      </c>
      <c r="BA55" t="s">
        <v>156</v>
      </c>
      <c r="BB55" t="s">
        <v>165</v>
      </c>
      <c r="BC55" t="s">
        <v>112</v>
      </c>
      <c r="BD55">
        <v>5</v>
      </c>
      <c r="BE55">
        <v>204</v>
      </c>
      <c r="BF55">
        <v>209</v>
      </c>
      <c r="BG55" t="s">
        <v>113</v>
      </c>
      <c r="BH55" s="6">
        <v>1092.25</v>
      </c>
      <c r="BI55" s="6">
        <f>BH55*1.08</f>
        <v>1179.6300000000001</v>
      </c>
      <c r="BJ55" s="6">
        <f t="shared" si="23"/>
        <v>109.22500000000001</v>
      </c>
      <c r="BK55" s="6">
        <f t="shared" si="24"/>
        <v>32.767499999999998</v>
      </c>
      <c r="BL55" s="6">
        <f t="shared" si="25"/>
        <v>1234.2424999999998</v>
      </c>
      <c r="BM55" s="6">
        <v>602</v>
      </c>
      <c r="BN55" s="6">
        <v>0</v>
      </c>
      <c r="BO55" s="6">
        <f>BL55*1.5</f>
        <v>1851.3637499999998</v>
      </c>
      <c r="BP55" s="6">
        <f>BO55*1.2</f>
        <v>2221.6364999999996</v>
      </c>
      <c r="BQ55" s="6">
        <f t="shared" si="26"/>
        <v>987.39399999999978</v>
      </c>
      <c r="BR55" s="6">
        <f t="shared" si="27"/>
        <v>2221.6364999999996</v>
      </c>
      <c r="BS55" t="s">
        <v>114</v>
      </c>
      <c r="BT55" t="s">
        <v>530</v>
      </c>
      <c r="BU55" s="3">
        <v>701349100000</v>
      </c>
      <c r="BV55" t="s">
        <v>158</v>
      </c>
      <c r="BW55" t="s">
        <v>165</v>
      </c>
      <c r="BX55" t="s">
        <v>112</v>
      </c>
      <c r="BY55">
        <v>20</v>
      </c>
      <c r="BZ55">
        <v>204</v>
      </c>
      <c r="CA55">
        <v>209</v>
      </c>
      <c r="CB55" t="s">
        <v>113</v>
      </c>
      <c r="CC55" s="6">
        <v>1957.98</v>
      </c>
      <c r="CD55" s="6">
        <f>CC55*1.08</f>
        <v>2114.6184000000003</v>
      </c>
      <c r="CE55" s="6">
        <f t="shared" si="28"/>
        <v>195.798</v>
      </c>
      <c r="CF55" s="6">
        <f t="shared" si="29"/>
        <v>58.739399999999996</v>
      </c>
      <c r="CG55" s="6">
        <f t="shared" si="30"/>
        <v>2212.5174000000002</v>
      </c>
      <c r="CH55" s="6">
        <v>501</v>
      </c>
      <c r="CI55" s="6">
        <v>0</v>
      </c>
      <c r="CJ55" s="6">
        <v>0</v>
      </c>
      <c r="CK55" s="6">
        <f>CG55*1.2</f>
        <v>2655.02088</v>
      </c>
      <c r="CL55" s="6">
        <f t="shared" si="31"/>
        <v>442.50347999999985</v>
      </c>
      <c r="CM55" s="6">
        <f t="shared" si="32"/>
        <v>2655.02088</v>
      </c>
      <c r="CN55" t="s">
        <v>114</v>
      </c>
      <c r="CO55" t="s">
        <v>531</v>
      </c>
      <c r="CP55">
        <f t="shared" ca="1" si="33"/>
        <v>0.37256229732460289</v>
      </c>
      <c r="CQ55">
        <v>1</v>
      </c>
      <c r="CR55" s="10" t="str">
        <f t="shared" si="15"/>
        <v>20.12.2025 22:00</v>
      </c>
    </row>
    <row r="56" spans="1:96" x14ac:dyDescent="0.35">
      <c r="A56">
        <v>1222603601</v>
      </c>
      <c r="B56" t="s">
        <v>538</v>
      </c>
      <c r="C56" t="s">
        <v>503</v>
      </c>
      <c r="D56" t="s">
        <v>93</v>
      </c>
      <c r="E56">
        <v>4000</v>
      </c>
      <c r="F56" t="s">
        <v>94</v>
      </c>
      <c r="G56" t="s">
        <v>95</v>
      </c>
      <c r="H56" t="s">
        <v>96</v>
      </c>
      <c r="I56" t="s">
        <v>97</v>
      </c>
      <c r="J56" t="s">
        <v>98</v>
      </c>
      <c r="K56" s="6">
        <f t="shared" si="19"/>
        <v>30090.770904000001</v>
      </c>
      <c r="L56" t="s">
        <v>99</v>
      </c>
      <c r="M56" t="s">
        <v>100</v>
      </c>
      <c r="N56" t="s">
        <v>101</v>
      </c>
      <c r="O56" t="s">
        <v>96</v>
      </c>
      <c r="P56" t="s">
        <v>96</v>
      </c>
      <c r="Q56" t="s">
        <v>504</v>
      </c>
      <c r="R56" t="s">
        <v>103</v>
      </c>
      <c r="S56" t="s">
        <v>104</v>
      </c>
      <c r="T56">
        <v>0</v>
      </c>
      <c r="U56">
        <v>30</v>
      </c>
      <c r="V56">
        <v>30</v>
      </c>
      <c r="W56" t="s">
        <v>105</v>
      </c>
      <c r="X56" t="s">
        <v>106</v>
      </c>
      <c r="Y56" t="s">
        <v>107</v>
      </c>
      <c r="Z56" t="s">
        <v>108</v>
      </c>
      <c r="AA56">
        <v>588</v>
      </c>
      <c r="AB56">
        <v>603</v>
      </c>
      <c r="AC56" t="s">
        <v>109</v>
      </c>
      <c r="AD56" t="s">
        <v>344</v>
      </c>
      <c r="AE56" s="3">
        <v>870323190000</v>
      </c>
      <c r="AF56" t="s">
        <v>194</v>
      </c>
      <c r="AG56" t="s">
        <v>103</v>
      </c>
      <c r="AH56" t="s">
        <v>195</v>
      </c>
      <c r="AI56">
        <v>17</v>
      </c>
      <c r="AJ56">
        <v>196</v>
      </c>
      <c r="AK56">
        <v>201</v>
      </c>
      <c r="AL56" t="s">
        <v>113</v>
      </c>
      <c r="AM56" s="6">
        <v>6594.23</v>
      </c>
      <c r="AN56" s="6">
        <f>AM56*1.08</f>
        <v>7121.7683999999999</v>
      </c>
      <c r="AO56" s="6">
        <f t="shared" si="20"/>
        <v>659.423</v>
      </c>
      <c r="AP56" s="6">
        <f t="shared" si="21"/>
        <v>197.82689999999997</v>
      </c>
      <c r="AQ56" s="6">
        <f t="shared" si="22"/>
        <v>7451.4798999999994</v>
      </c>
      <c r="AR56">
        <v>602</v>
      </c>
      <c r="AS56" s="6">
        <v>0</v>
      </c>
      <c r="AT56" s="6">
        <f>AQ56*1.8</f>
        <v>13412.66382</v>
      </c>
      <c r="AU56" s="6">
        <f>AT56*1.2</f>
        <v>16095.196583999999</v>
      </c>
      <c r="AV56" s="6">
        <f>AU56-AQ56</f>
        <v>8643.7166839999991</v>
      </c>
      <c r="AW56" s="6">
        <f>AU56</f>
        <v>16095.196583999999</v>
      </c>
      <c r="AX56" t="s">
        <v>114</v>
      </c>
      <c r="AY56" t="s">
        <v>505</v>
      </c>
      <c r="AZ56" s="3">
        <v>842720000000</v>
      </c>
      <c r="BA56" t="s">
        <v>197</v>
      </c>
      <c r="BB56" t="s">
        <v>103</v>
      </c>
      <c r="BC56" t="s">
        <v>195</v>
      </c>
      <c r="BD56">
        <v>14</v>
      </c>
      <c r="BE56">
        <v>196</v>
      </c>
      <c r="BF56">
        <v>201</v>
      </c>
      <c r="BG56" t="s">
        <v>113</v>
      </c>
      <c r="BH56" s="6">
        <v>5286.05</v>
      </c>
      <c r="BI56" s="6">
        <f>BH56*1.08</f>
        <v>5708.9340000000002</v>
      </c>
      <c r="BJ56" s="6">
        <f t="shared" si="23"/>
        <v>528.60500000000002</v>
      </c>
      <c r="BK56" s="6">
        <f t="shared" si="24"/>
        <v>158.58150000000001</v>
      </c>
      <c r="BL56" s="6">
        <f t="shared" si="25"/>
        <v>5973.2365000000009</v>
      </c>
      <c r="BM56" s="6">
        <v>501</v>
      </c>
      <c r="BN56" s="6">
        <v>0</v>
      </c>
      <c r="BO56" s="6">
        <v>0</v>
      </c>
      <c r="BP56" s="6">
        <f>BL56*1.2</f>
        <v>7167.8838000000005</v>
      </c>
      <c r="BQ56" s="6">
        <f t="shared" si="26"/>
        <v>1194.6472999999996</v>
      </c>
      <c r="BR56" s="6">
        <f t="shared" si="27"/>
        <v>7167.8838000000005</v>
      </c>
      <c r="BS56" t="s">
        <v>114</v>
      </c>
      <c r="BT56" t="s">
        <v>506</v>
      </c>
      <c r="BU56" s="3">
        <v>640399930000</v>
      </c>
      <c r="BV56" t="s">
        <v>199</v>
      </c>
      <c r="BW56" t="s">
        <v>103</v>
      </c>
      <c r="BX56" t="s">
        <v>112</v>
      </c>
      <c r="BY56">
        <v>19</v>
      </c>
      <c r="BZ56">
        <v>196</v>
      </c>
      <c r="CA56">
        <v>201</v>
      </c>
      <c r="CB56" t="s">
        <v>113</v>
      </c>
      <c r="CC56" s="6">
        <v>5035.17</v>
      </c>
      <c r="CD56" s="6">
        <f>CC56*1.08</f>
        <v>5437.9836000000005</v>
      </c>
      <c r="CE56" s="6">
        <f t="shared" si="28"/>
        <v>503.51700000000005</v>
      </c>
      <c r="CF56" s="6">
        <f t="shared" si="29"/>
        <v>151.05510000000001</v>
      </c>
      <c r="CG56" s="6">
        <f t="shared" si="30"/>
        <v>5689.7420999999995</v>
      </c>
      <c r="CH56" s="6">
        <v>501</v>
      </c>
      <c r="CI56" s="6">
        <v>0</v>
      </c>
      <c r="CJ56" s="6">
        <v>0</v>
      </c>
      <c r="CK56" s="6">
        <f>CG56*1.2</f>
        <v>6827.6905199999992</v>
      </c>
      <c r="CL56" s="6">
        <f t="shared" si="31"/>
        <v>1137.9484199999997</v>
      </c>
      <c r="CM56" s="6">
        <f t="shared" si="32"/>
        <v>6827.6905199999992</v>
      </c>
      <c r="CN56" t="s">
        <v>114</v>
      </c>
      <c r="CO56" t="s">
        <v>507</v>
      </c>
      <c r="CP56">
        <f t="shared" ca="1" si="33"/>
        <v>0.50649833381527587</v>
      </c>
      <c r="CQ56">
        <v>1</v>
      </c>
      <c r="CR56" s="10" t="str">
        <f t="shared" si="15"/>
        <v>20.12.2025 22:00</v>
      </c>
    </row>
    <row r="57" spans="1:96" x14ac:dyDescent="0.35">
      <c r="A57">
        <v>1232603801</v>
      </c>
      <c r="B57" t="s">
        <v>544</v>
      </c>
      <c r="C57" t="s">
        <v>466</v>
      </c>
      <c r="D57" t="s">
        <v>93</v>
      </c>
      <c r="E57">
        <v>4000</v>
      </c>
      <c r="F57" t="s">
        <v>94</v>
      </c>
      <c r="G57" t="s">
        <v>95</v>
      </c>
      <c r="H57" t="s">
        <v>96</v>
      </c>
      <c r="I57" t="s">
        <v>304</v>
      </c>
      <c r="J57" t="s">
        <v>176</v>
      </c>
      <c r="K57" s="6">
        <f t="shared" si="19"/>
        <v>2643.1632250000002</v>
      </c>
      <c r="L57" t="s">
        <v>99</v>
      </c>
      <c r="M57" t="s">
        <v>100</v>
      </c>
      <c r="N57" t="s">
        <v>305</v>
      </c>
      <c r="O57" t="s">
        <v>96</v>
      </c>
      <c r="P57" t="s">
        <v>96</v>
      </c>
      <c r="Q57" t="s">
        <v>467</v>
      </c>
      <c r="R57" t="s">
        <v>307</v>
      </c>
      <c r="S57" t="s">
        <v>104</v>
      </c>
      <c r="T57">
        <v>0</v>
      </c>
      <c r="U57">
        <v>30</v>
      </c>
      <c r="V57">
        <v>30</v>
      </c>
      <c r="W57" t="s">
        <v>105</v>
      </c>
      <c r="X57" t="s">
        <v>106</v>
      </c>
      <c r="Y57" t="s">
        <v>107</v>
      </c>
      <c r="Z57" t="s">
        <v>108</v>
      </c>
      <c r="AA57">
        <v>552</v>
      </c>
      <c r="AB57">
        <v>567</v>
      </c>
      <c r="AC57" t="s">
        <v>109</v>
      </c>
      <c r="AD57" t="s">
        <v>468</v>
      </c>
      <c r="AE57" s="3">
        <v>190531990000</v>
      </c>
      <c r="AF57" t="s">
        <v>111</v>
      </c>
      <c r="AG57" t="s">
        <v>307</v>
      </c>
      <c r="AH57" t="s">
        <v>112</v>
      </c>
      <c r="AI57">
        <v>17</v>
      </c>
      <c r="AJ57">
        <v>184</v>
      </c>
      <c r="AK57">
        <v>189</v>
      </c>
      <c r="AL57" t="s">
        <v>113</v>
      </c>
      <c r="AM57" s="6">
        <v>764.64</v>
      </c>
      <c r="AN57" s="6">
        <v>1965.17</v>
      </c>
      <c r="AO57" s="6">
        <f t="shared" si="20"/>
        <v>76.463999999999999</v>
      </c>
      <c r="AP57" s="6">
        <f t="shared" si="21"/>
        <v>22.9392</v>
      </c>
      <c r="AQ57" s="6">
        <f t="shared" si="22"/>
        <v>864.04320000000007</v>
      </c>
      <c r="AR57">
        <v>501</v>
      </c>
      <c r="AS57" s="6">
        <f>AQ57*1.1</f>
        <v>950.44752000000017</v>
      </c>
      <c r="AT57" s="6">
        <v>0</v>
      </c>
      <c r="AU57" s="6">
        <f>AS57*1.2</f>
        <v>1140.5370240000002</v>
      </c>
      <c r="AV57" s="6">
        <f>AU57-AQ57</f>
        <v>276.49382400000013</v>
      </c>
      <c r="AW57" s="6">
        <f>AU57</f>
        <v>1140.5370240000002</v>
      </c>
      <c r="AX57" t="s">
        <v>118</v>
      </c>
      <c r="AY57" t="s">
        <v>469</v>
      </c>
      <c r="AZ57" s="3">
        <v>804100000000</v>
      </c>
      <c r="BA57" t="s">
        <v>116</v>
      </c>
      <c r="BB57" t="s">
        <v>307</v>
      </c>
      <c r="BC57" t="s">
        <v>117</v>
      </c>
      <c r="BD57">
        <v>5</v>
      </c>
      <c r="BE57">
        <v>184</v>
      </c>
      <c r="BF57">
        <v>189</v>
      </c>
      <c r="BG57" t="s">
        <v>113</v>
      </c>
      <c r="BH57" s="6">
        <v>616.96</v>
      </c>
      <c r="BI57" s="6">
        <v>1965.17</v>
      </c>
      <c r="BJ57" s="6">
        <f t="shared" si="23"/>
        <v>61.696000000000005</v>
      </c>
      <c r="BK57" s="6">
        <f t="shared" si="24"/>
        <v>18.508800000000001</v>
      </c>
      <c r="BL57" s="6">
        <f t="shared" si="25"/>
        <v>697.16480000000001</v>
      </c>
      <c r="BM57" s="6">
        <v>501</v>
      </c>
      <c r="BN57" s="6">
        <v>0</v>
      </c>
      <c r="BO57" s="6">
        <v>0</v>
      </c>
      <c r="BP57" s="6">
        <f>BL57*1.2</f>
        <v>836.59775999999999</v>
      </c>
      <c r="BQ57" s="6">
        <f t="shared" si="26"/>
        <v>139.43295999999998</v>
      </c>
      <c r="BR57" s="6">
        <f t="shared" si="27"/>
        <v>836.59775999999999</v>
      </c>
      <c r="BS57" t="s">
        <v>118</v>
      </c>
      <c r="BT57" t="s">
        <v>470</v>
      </c>
      <c r="BU57" s="3">
        <v>100199000000</v>
      </c>
      <c r="BV57" t="s">
        <v>120</v>
      </c>
      <c r="BW57" t="s">
        <v>307</v>
      </c>
      <c r="BX57" t="s">
        <v>117</v>
      </c>
      <c r="BY57">
        <v>19</v>
      </c>
      <c r="BZ57">
        <v>184</v>
      </c>
      <c r="CA57">
        <v>189</v>
      </c>
      <c r="CB57" t="s">
        <v>113</v>
      </c>
      <c r="CC57" s="6">
        <v>583.57000000000005</v>
      </c>
      <c r="CD57" s="6">
        <v>1965.17</v>
      </c>
      <c r="CE57" s="6">
        <f t="shared" si="28"/>
        <v>58.357000000000006</v>
      </c>
      <c r="CF57" s="6">
        <f t="shared" si="29"/>
        <v>17.507100000000001</v>
      </c>
      <c r="CG57" s="6">
        <f t="shared" si="30"/>
        <v>659.43410000000006</v>
      </c>
      <c r="CH57" s="6">
        <v>501</v>
      </c>
      <c r="CI57" s="6">
        <v>0</v>
      </c>
      <c r="CJ57" s="6">
        <v>0</v>
      </c>
      <c r="CK57" s="6">
        <f>CG57*1.01</f>
        <v>666.02844100000004</v>
      </c>
      <c r="CL57" s="6">
        <f t="shared" si="31"/>
        <v>6.5943409999999858</v>
      </c>
      <c r="CM57" s="6">
        <f t="shared" si="32"/>
        <v>666.02844100000004</v>
      </c>
      <c r="CN57" t="s">
        <v>118</v>
      </c>
      <c r="CO57" t="s">
        <v>471</v>
      </c>
      <c r="CP57">
        <f t="shared" ca="1" si="33"/>
        <v>0.46863257963331673</v>
      </c>
      <c r="CQ57">
        <v>1</v>
      </c>
      <c r="CR57" s="10" t="str">
        <f t="shared" si="15"/>
        <v>20.12.2025 22:00</v>
      </c>
    </row>
  </sheetData>
  <autoFilter ref="A1:CP57" xr:uid="{00000000-0001-0000-0000-000000000000}">
    <sortState xmlns:xlrd2="http://schemas.microsoft.com/office/spreadsheetml/2017/richdata2" ref="A2:CP57">
      <sortCondition ref="CP2:CP57"/>
    </sortState>
  </autoFilter>
  <sortState xmlns:xlrd2="http://schemas.microsoft.com/office/spreadsheetml/2017/richdata2" ref="A2:CR57">
    <sortCondition ref="CP2:CP57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3305-6514-4250-978D-A6220037BFA5}">
  <dimension ref="A1:B57"/>
  <sheetViews>
    <sheetView topLeftCell="A21" workbookViewId="0">
      <selection activeCell="A2" sqref="A2:B57"/>
    </sheetView>
  </sheetViews>
  <sheetFormatPr defaultRowHeight="14.5" x14ac:dyDescent="0.35"/>
  <cols>
    <col min="1" max="1" width="16.26953125" bestFit="1" customWidth="1"/>
    <col min="2" max="2" width="25.36328125" bestFit="1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>
        <v>1222603002</v>
      </c>
      <c r="B2" t="s">
        <v>91</v>
      </c>
    </row>
    <row r="3" spans="1:2" x14ac:dyDescent="0.35">
      <c r="A3">
        <v>1222603003</v>
      </c>
      <c r="B3" t="s">
        <v>122</v>
      </c>
    </row>
    <row r="4" spans="1:2" x14ac:dyDescent="0.35">
      <c r="A4">
        <v>1222603004</v>
      </c>
      <c r="B4" t="s">
        <v>135</v>
      </c>
    </row>
    <row r="5" spans="1:2" x14ac:dyDescent="0.35">
      <c r="A5">
        <v>1222603006</v>
      </c>
      <c r="B5" t="s">
        <v>148</v>
      </c>
    </row>
    <row r="6" spans="1:2" x14ac:dyDescent="0.35">
      <c r="A6">
        <v>1222603007</v>
      </c>
      <c r="B6" t="s">
        <v>160</v>
      </c>
    </row>
    <row r="7" spans="1:2" x14ac:dyDescent="0.35">
      <c r="A7">
        <v>1222603008</v>
      </c>
      <c r="B7" t="s">
        <v>173</v>
      </c>
    </row>
    <row r="8" spans="1:2" x14ac:dyDescent="0.35">
      <c r="A8">
        <v>1222603009</v>
      </c>
      <c r="B8" t="s">
        <v>188</v>
      </c>
    </row>
    <row r="9" spans="1:2" x14ac:dyDescent="0.35">
      <c r="A9">
        <v>1222603010</v>
      </c>
      <c r="B9" t="s">
        <v>201</v>
      </c>
    </row>
    <row r="10" spans="1:2" x14ac:dyDescent="0.35">
      <c r="A10">
        <v>1222603011</v>
      </c>
      <c r="B10" t="s">
        <v>211</v>
      </c>
    </row>
    <row r="11" spans="1:2" x14ac:dyDescent="0.35">
      <c r="A11">
        <v>1222603013</v>
      </c>
      <c r="B11" t="s">
        <v>220</v>
      </c>
    </row>
    <row r="12" spans="1:2" x14ac:dyDescent="0.35">
      <c r="A12">
        <v>1222603014</v>
      </c>
      <c r="B12" t="s">
        <v>229</v>
      </c>
    </row>
    <row r="13" spans="1:2" x14ac:dyDescent="0.35">
      <c r="A13">
        <v>1222603015</v>
      </c>
      <c r="B13" t="s">
        <v>238</v>
      </c>
    </row>
    <row r="14" spans="1:2" x14ac:dyDescent="0.35">
      <c r="A14">
        <v>1222603016</v>
      </c>
      <c r="B14" t="s">
        <v>247</v>
      </c>
    </row>
    <row r="15" spans="1:2" x14ac:dyDescent="0.35">
      <c r="A15">
        <v>1222603017</v>
      </c>
      <c r="B15" t="s">
        <v>256</v>
      </c>
    </row>
    <row r="16" spans="1:2" x14ac:dyDescent="0.35">
      <c r="A16">
        <v>1222603018</v>
      </c>
      <c r="B16" t="s">
        <v>265</v>
      </c>
    </row>
    <row r="17" spans="1:2" x14ac:dyDescent="0.35">
      <c r="A17">
        <v>1222603019</v>
      </c>
      <c r="B17" t="s">
        <v>274</v>
      </c>
    </row>
    <row r="18" spans="1:2" x14ac:dyDescent="0.35">
      <c r="A18">
        <v>1222603020</v>
      </c>
      <c r="B18" t="s">
        <v>283</v>
      </c>
    </row>
    <row r="19" spans="1:2" x14ac:dyDescent="0.35">
      <c r="A19">
        <v>1222603022</v>
      </c>
      <c r="B19" t="s">
        <v>292</v>
      </c>
    </row>
    <row r="20" spans="1:2" x14ac:dyDescent="0.35">
      <c r="A20">
        <v>1222603023</v>
      </c>
      <c r="B20" t="s">
        <v>302</v>
      </c>
    </row>
    <row r="21" spans="1:2" x14ac:dyDescent="0.35">
      <c r="A21">
        <v>1222603024</v>
      </c>
      <c r="B21" t="s">
        <v>311</v>
      </c>
    </row>
    <row r="22" spans="1:2" x14ac:dyDescent="0.35">
      <c r="A22">
        <v>1222603025</v>
      </c>
      <c r="B22" t="s">
        <v>320</v>
      </c>
    </row>
    <row r="23" spans="1:2" x14ac:dyDescent="0.35">
      <c r="A23">
        <v>1222603028</v>
      </c>
      <c r="B23" t="s">
        <v>329</v>
      </c>
    </row>
    <row r="24" spans="1:2" x14ac:dyDescent="0.35">
      <c r="A24">
        <v>1222603029</v>
      </c>
      <c r="B24" t="s">
        <v>338</v>
      </c>
    </row>
    <row r="25" spans="1:2" x14ac:dyDescent="0.35">
      <c r="A25">
        <v>1222603030</v>
      </c>
      <c r="B25" t="s">
        <v>348</v>
      </c>
    </row>
    <row r="26" spans="1:2" x14ac:dyDescent="0.35">
      <c r="A26">
        <v>1222603031</v>
      </c>
      <c r="B26" t="s">
        <v>356</v>
      </c>
    </row>
    <row r="27" spans="1:2" x14ac:dyDescent="0.35">
      <c r="A27">
        <v>1222603032</v>
      </c>
      <c r="B27" t="s">
        <v>362</v>
      </c>
    </row>
    <row r="28" spans="1:2" x14ac:dyDescent="0.35">
      <c r="A28">
        <v>1222603033</v>
      </c>
      <c r="B28" t="s">
        <v>368</v>
      </c>
    </row>
    <row r="29" spans="1:2" x14ac:dyDescent="0.35">
      <c r="A29">
        <v>1222603034</v>
      </c>
      <c r="B29" t="s">
        <v>374</v>
      </c>
    </row>
    <row r="30" spans="1:2" x14ac:dyDescent="0.35">
      <c r="A30">
        <v>1222603035</v>
      </c>
      <c r="B30" t="s">
        <v>380</v>
      </c>
    </row>
    <row r="31" spans="1:2" x14ac:dyDescent="0.35">
      <c r="A31">
        <v>1222603036</v>
      </c>
      <c r="B31" t="s">
        <v>386</v>
      </c>
    </row>
    <row r="32" spans="1:2" x14ac:dyDescent="0.35">
      <c r="A32">
        <v>1222603037</v>
      </c>
      <c r="B32" t="s">
        <v>392</v>
      </c>
    </row>
    <row r="33" spans="1:2" x14ac:dyDescent="0.35">
      <c r="A33">
        <v>1222603038</v>
      </c>
      <c r="B33" t="s">
        <v>398</v>
      </c>
    </row>
    <row r="34" spans="1:2" x14ac:dyDescent="0.35">
      <c r="A34">
        <v>1222603039</v>
      </c>
      <c r="B34" t="s">
        <v>404</v>
      </c>
    </row>
    <row r="35" spans="1:2" x14ac:dyDescent="0.35">
      <c r="A35">
        <v>1222603042</v>
      </c>
      <c r="B35" t="s">
        <v>410</v>
      </c>
    </row>
    <row r="36" spans="1:2" x14ac:dyDescent="0.35">
      <c r="A36">
        <v>1222603043</v>
      </c>
      <c r="B36" t="s">
        <v>416</v>
      </c>
    </row>
    <row r="37" spans="1:2" x14ac:dyDescent="0.35">
      <c r="A37">
        <v>1222603044</v>
      </c>
      <c r="B37" t="s">
        <v>422</v>
      </c>
    </row>
    <row r="38" spans="1:2" x14ac:dyDescent="0.35">
      <c r="A38">
        <v>1222603045</v>
      </c>
      <c r="B38" t="s">
        <v>429</v>
      </c>
    </row>
    <row r="39" spans="1:2" x14ac:dyDescent="0.35">
      <c r="A39">
        <v>1222603046</v>
      </c>
      <c r="B39" t="s">
        <v>435</v>
      </c>
    </row>
    <row r="40" spans="1:2" x14ac:dyDescent="0.35">
      <c r="A40">
        <v>1222603047</v>
      </c>
      <c r="B40" t="s">
        <v>441</v>
      </c>
    </row>
    <row r="41" spans="1:2" x14ac:dyDescent="0.35">
      <c r="A41">
        <v>1222603048</v>
      </c>
      <c r="B41" t="s">
        <v>447</v>
      </c>
    </row>
    <row r="42" spans="1:2" x14ac:dyDescent="0.35">
      <c r="A42">
        <v>1222603049</v>
      </c>
      <c r="B42" t="s">
        <v>453</v>
      </c>
    </row>
    <row r="43" spans="1:2" x14ac:dyDescent="0.35">
      <c r="A43">
        <v>1222603050</v>
      </c>
      <c r="B43" t="s">
        <v>459</v>
      </c>
    </row>
    <row r="44" spans="1:2" x14ac:dyDescent="0.35">
      <c r="A44">
        <v>1222603051</v>
      </c>
      <c r="B44" t="s">
        <v>465</v>
      </c>
    </row>
    <row r="45" spans="1:2" x14ac:dyDescent="0.35">
      <c r="A45">
        <v>1222603052</v>
      </c>
      <c r="B45" t="s">
        <v>472</v>
      </c>
    </row>
    <row r="46" spans="1:2" x14ac:dyDescent="0.35">
      <c r="A46">
        <v>1222603053</v>
      </c>
      <c r="B46" t="s">
        <v>478</v>
      </c>
    </row>
    <row r="47" spans="1:2" x14ac:dyDescent="0.35">
      <c r="A47">
        <v>1222603054</v>
      </c>
      <c r="B47" t="s">
        <v>484</v>
      </c>
    </row>
    <row r="48" spans="1:2" x14ac:dyDescent="0.35">
      <c r="A48">
        <v>1222603056</v>
      </c>
      <c r="B48" t="s">
        <v>490</v>
      </c>
    </row>
    <row r="49" spans="1:2" x14ac:dyDescent="0.35">
      <c r="A49">
        <v>1222603057</v>
      </c>
      <c r="B49" t="s">
        <v>496</v>
      </c>
    </row>
    <row r="50" spans="1:2" x14ac:dyDescent="0.35">
      <c r="A50">
        <v>1222603058</v>
      </c>
      <c r="B50" t="s">
        <v>502</v>
      </c>
    </row>
    <row r="51" spans="1:2" x14ac:dyDescent="0.35">
      <c r="A51">
        <v>1222603059</v>
      </c>
      <c r="B51" t="s">
        <v>508</v>
      </c>
    </row>
    <row r="52" spans="1:2" x14ac:dyDescent="0.35">
      <c r="A52">
        <v>1222603060</v>
      </c>
      <c r="B52" t="s">
        <v>514</v>
      </c>
    </row>
    <row r="53" spans="1:2" x14ac:dyDescent="0.35">
      <c r="A53">
        <v>1222603061</v>
      </c>
      <c r="B53" t="s">
        <v>520</v>
      </c>
    </row>
    <row r="54" spans="1:2" x14ac:dyDescent="0.35">
      <c r="A54">
        <v>1222603062</v>
      </c>
      <c r="B54" t="s">
        <v>526</v>
      </c>
    </row>
    <row r="55" spans="1:2" x14ac:dyDescent="0.35">
      <c r="A55">
        <v>1222603064</v>
      </c>
      <c r="B55" t="s">
        <v>532</v>
      </c>
    </row>
    <row r="56" spans="1:2" x14ac:dyDescent="0.35">
      <c r="A56">
        <v>1222603601</v>
      </c>
      <c r="B56" t="s">
        <v>538</v>
      </c>
    </row>
    <row r="57" spans="1:2" x14ac:dyDescent="0.35">
      <c r="A57">
        <v>1232603801</v>
      </c>
      <c r="B57" t="s">
        <v>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81F6-E59C-4935-8783-DB736E902280}">
  <dimension ref="A1:CS57"/>
  <sheetViews>
    <sheetView topLeftCell="CE1" workbookViewId="0">
      <selection activeCell="A2" sqref="A2:B57"/>
    </sheetView>
  </sheetViews>
  <sheetFormatPr defaultRowHeight="14.5" x14ac:dyDescent="0.35"/>
  <cols>
    <col min="1" max="1" width="20.81640625" customWidth="1"/>
    <col min="2" max="2" width="25.36328125" customWidth="1"/>
    <col min="3" max="3" width="19.90625" customWidth="1"/>
    <col min="4" max="4" width="20.1796875" customWidth="1"/>
    <col min="5" max="5" width="15.36328125" customWidth="1"/>
    <col min="6" max="6" width="48" customWidth="1"/>
    <col min="7" max="7" width="34.90625" customWidth="1"/>
    <col min="8" max="8" width="22.6328125" customWidth="1"/>
    <col min="9" max="9" width="19.81640625" customWidth="1"/>
    <col min="10" max="10" width="9.90625" customWidth="1"/>
    <col min="11" max="11" width="24.6328125" customWidth="1"/>
    <col min="12" max="12" width="14.6328125" customWidth="1"/>
    <col min="13" max="13" width="16.1796875" customWidth="1"/>
    <col min="14" max="14" width="31.36328125" customWidth="1"/>
    <col min="15" max="15" width="24.08984375" customWidth="1"/>
    <col min="16" max="16" width="28.08984375" customWidth="1"/>
    <col min="17" max="17" width="21.90625" customWidth="1"/>
    <col min="18" max="18" width="24.453125" customWidth="1"/>
    <col min="19" max="19" width="23.08984375" customWidth="1"/>
    <col min="20" max="20" width="19.54296875" customWidth="1"/>
    <col min="21" max="21" width="20.81640625" customWidth="1"/>
    <col min="22" max="22" width="22" customWidth="1"/>
    <col min="23" max="23" width="16.7265625" customWidth="1"/>
    <col min="24" max="24" width="25" customWidth="1"/>
    <col min="25" max="25" width="23.81640625" customWidth="1"/>
    <col min="26" max="26" width="16.26953125" customWidth="1"/>
    <col min="27" max="27" width="25.36328125" customWidth="1"/>
    <col min="28" max="28" width="26.08984375" customWidth="1"/>
    <col min="29" max="29" width="15.90625" customWidth="1"/>
    <col min="30" max="30" width="30.08984375" customWidth="1"/>
    <col min="31" max="31" width="16.6328125" style="3" customWidth="1"/>
    <col min="32" max="32" width="18.26953125" customWidth="1"/>
    <col min="33" max="33" width="23.26953125" customWidth="1"/>
    <col min="34" max="34" width="15.453125" customWidth="1"/>
    <col min="35" max="35" width="16.36328125" customWidth="1"/>
    <col min="36" max="36" width="20" customWidth="1"/>
    <col min="37" max="37" width="20.6328125" customWidth="1"/>
    <col min="38" max="38" width="28.54296875" customWidth="1"/>
    <col min="39" max="39" width="18.08984375" style="6" customWidth="1"/>
    <col min="40" max="40" width="26.54296875" style="6" customWidth="1"/>
    <col min="41" max="42" width="19.26953125" style="6" customWidth="1"/>
    <col min="43" max="43" width="17.1796875" style="6" customWidth="1"/>
    <col min="44" max="44" width="17" customWidth="1"/>
    <col min="45" max="45" width="9.81640625" style="6" customWidth="1"/>
    <col min="46" max="47" width="10.90625" style="6" customWidth="1"/>
    <col min="48" max="48" width="21.7265625" style="6" customWidth="1"/>
    <col min="49" max="49" width="19.26953125" style="6" customWidth="1"/>
    <col min="50" max="50" width="20.26953125" customWidth="1"/>
    <col min="51" max="51" width="23.36328125" customWidth="1"/>
    <col min="52" max="52" width="16.6328125" style="3" customWidth="1"/>
    <col min="53" max="53" width="18.26953125" customWidth="1"/>
    <col min="54" max="54" width="23.26953125" customWidth="1"/>
    <col min="55" max="55" width="15.453125" customWidth="1"/>
    <col min="56" max="56" width="16.36328125" customWidth="1"/>
    <col min="57" max="57" width="20" customWidth="1"/>
    <col min="58" max="58" width="20.6328125" customWidth="1"/>
    <col min="59" max="59" width="28.54296875" customWidth="1"/>
    <col min="60" max="60" width="18.08984375" style="6" customWidth="1"/>
    <col min="61" max="61" width="26.54296875" style="6" customWidth="1"/>
    <col min="62" max="63" width="19.26953125" style="6" customWidth="1"/>
    <col min="64" max="64" width="17.1796875" style="6" customWidth="1"/>
    <col min="65" max="65" width="17" style="6" customWidth="1"/>
    <col min="66" max="66" width="9.81640625" style="6" customWidth="1"/>
    <col min="67" max="68" width="10.90625" style="6" customWidth="1"/>
    <col min="69" max="69" width="21.7265625" style="6" customWidth="1"/>
    <col min="70" max="70" width="19.26953125" style="6" customWidth="1"/>
    <col min="71" max="71" width="20.26953125" customWidth="1"/>
    <col min="72" max="72" width="23.36328125" customWidth="1"/>
    <col min="73" max="73" width="16.6328125" style="3" customWidth="1"/>
    <col min="74" max="74" width="18.26953125" customWidth="1"/>
    <col min="75" max="75" width="23.26953125" customWidth="1"/>
    <col min="76" max="76" width="15.453125" customWidth="1"/>
    <col min="77" max="77" width="16.36328125" customWidth="1"/>
    <col min="78" max="78" width="20" customWidth="1"/>
    <col min="79" max="79" width="20.6328125" customWidth="1"/>
    <col min="80" max="80" width="28.54296875" customWidth="1"/>
    <col min="81" max="81" width="18.08984375" style="6" customWidth="1"/>
    <col min="82" max="82" width="26.54296875" style="6" customWidth="1"/>
    <col min="83" max="84" width="19.26953125" style="6" customWidth="1"/>
    <col min="85" max="85" width="17.1796875" style="6" customWidth="1"/>
    <col min="86" max="86" width="17" style="6" customWidth="1"/>
    <col min="87" max="87" width="9.81640625" style="6" customWidth="1"/>
    <col min="88" max="89" width="10.90625" style="6" customWidth="1"/>
    <col min="90" max="90" width="21.7265625" style="6" customWidth="1"/>
    <col min="91" max="91" width="19.26953125" style="6" customWidth="1"/>
    <col min="92" max="92" width="20.26953125" customWidth="1"/>
    <col min="93" max="93" width="23.36328125" customWidth="1"/>
    <col min="94" max="94" width="11.81640625" customWidth="1"/>
    <col min="95" max="95" width="8.7265625" customWidth="1"/>
    <col min="96" max="96" width="10.26953125" bestFit="1" customWidth="1"/>
  </cols>
  <sheetData>
    <row r="1" spans="1:97" x14ac:dyDescent="0.35">
      <c r="A1" s="4" t="s">
        <v>0</v>
      </c>
      <c r="B1" s="4" t="s">
        <v>1</v>
      </c>
      <c r="C1" s="4" t="s">
        <v>2</v>
      </c>
      <c r="D1" s="1" t="s">
        <v>3</v>
      </c>
      <c r="E1" s="1" t="s">
        <v>554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1" t="s">
        <v>10</v>
      </c>
      <c r="M1" s="1" t="s">
        <v>11</v>
      </c>
      <c r="N1" s="4" t="s">
        <v>12</v>
      </c>
      <c r="O1" s="1" t="s">
        <v>13</v>
      </c>
      <c r="P1" s="1" t="s">
        <v>14</v>
      </c>
      <c r="Q1" s="4" t="s">
        <v>15</v>
      </c>
      <c r="R1" s="4" t="s">
        <v>16</v>
      </c>
      <c r="S1" s="4" t="s">
        <v>17</v>
      </c>
      <c r="T1" s="1" t="s">
        <v>18</v>
      </c>
      <c r="U1" s="4" t="s">
        <v>19</v>
      </c>
      <c r="V1" s="4" t="s">
        <v>20</v>
      </c>
      <c r="W1" s="4" t="s">
        <v>553</v>
      </c>
      <c r="X1" s="4" t="s">
        <v>21</v>
      </c>
      <c r="Y1" s="4" t="s">
        <v>22</v>
      </c>
      <c r="Z1" s="4" t="s">
        <v>23</v>
      </c>
      <c r="AA1" s="1" t="s">
        <v>24</v>
      </c>
      <c r="AB1" s="1" t="s">
        <v>25</v>
      </c>
      <c r="AC1" s="4" t="s">
        <v>26</v>
      </c>
      <c r="AD1" s="4" t="s">
        <v>27</v>
      </c>
      <c r="AE1" s="5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1" t="s">
        <v>35</v>
      </c>
      <c r="AM1" s="8" t="s">
        <v>36</v>
      </c>
      <c r="AN1" s="8" t="s">
        <v>37</v>
      </c>
      <c r="AO1" s="8" t="s">
        <v>38</v>
      </c>
      <c r="AP1" s="8" t="s">
        <v>39</v>
      </c>
      <c r="AQ1" s="8" t="s">
        <v>40</v>
      </c>
      <c r="AR1" s="1" t="s">
        <v>41</v>
      </c>
      <c r="AS1" s="8" t="s">
        <v>42</v>
      </c>
      <c r="AT1" s="8" t="s">
        <v>43</v>
      </c>
      <c r="AU1" s="8" t="s">
        <v>44</v>
      </c>
      <c r="AV1" s="8" t="s">
        <v>45</v>
      </c>
      <c r="AW1" s="8" t="s">
        <v>46</v>
      </c>
      <c r="AX1" s="4" t="s">
        <v>47</v>
      </c>
      <c r="AY1" s="4" t="s">
        <v>48</v>
      </c>
      <c r="AZ1" s="2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9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9" t="s">
        <v>65</v>
      </c>
      <c r="BQ1" s="9" t="s">
        <v>66</v>
      </c>
      <c r="BR1" s="9" t="s">
        <v>67</v>
      </c>
      <c r="BS1" s="1" t="s">
        <v>68</v>
      </c>
      <c r="BT1" s="1" t="s">
        <v>69</v>
      </c>
      <c r="BU1" s="2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9" t="s">
        <v>78</v>
      </c>
      <c r="CD1" s="9" t="s">
        <v>79</v>
      </c>
      <c r="CE1" s="9" t="s">
        <v>80</v>
      </c>
      <c r="CF1" s="9" t="s">
        <v>81</v>
      </c>
      <c r="CG1" s="9" t="s">
        <v>82</v>
      </c>
      <c r="CH1" s="9" t="s">
        <v>83</v>
      </c>
      <c r="CI1" s="9" t="s">
        <v>84</v>
      </c>
      <c r="CJ1" s="9" t="s">
        <v>85</v>
      </c>
      <c r="CK1" s="9" t="s">
        <v>86</v>
      </c>
      <c r="CL1" s="9" t="s">
        <v>87</v>
      </c>
      <c r="CM1" s="9" t="s">
        <v>88</v>
      </c>
      <c r="CN1" s="1" t="s">
        <v>89</v>
      </c>
      <c r="CO1" s="1" t="s">
        <v>90</v>
      </c>
      <c r="CP1" s="7" t="s">
        <v>550</v>
      </c>
      <c r="CQ1" s="7" t="s">
        <v>551</v>
      </c>
      <c r="CR1" s="7" t="s">
        <v>552</v>
      </c>
      <c r="CS1" s="7"/>
    </row>
    <row r="2" spans="1:97" x14ac:dyDescent="0.35">
      <c r="A2">
        <v>1222603002</v>
      </c>
      <c r="B2" t="s">
        <v>91</v>
      </c>
      <c r="C2" t="s">
        <v>266</v>
      </c>
      <c r="D2" t="s">
        <v>93</v>
      </c>
      <c r="E2">
        <v>4000</v>
      </c>
      <c r="F2" t="s">
        <v>94</v>
      </c>
      <c r="G2" t="s">
        <v>95</v>
      </c>
      <c r="H2" t="s">
        <v>96</v>
      </c>
      <c r="I2" t="s">
        <v>267</v>
      </c>
      <c r="J2" t="s">
        <v>176</v>
      </c>
      <c r="K2" s="6">
        <f t="shared" ref="K2:K57" si="0">AW2+BR2+CM2</f>
        <v>2573.4596270000002</v>
      </c>
      <c r="L2" t="s">
        <v>99</v>
      </c>
      <c r="M2" t="s">
        <v>100</v>
      </c>
      <c r="N2" t="s">
        <v>268</v>
      </c>
      <c r="O2" t="s">
        <v>96</v>
      </c>
      <c r="P2" t="s">
        <v>96</v>
      </c>
      <c r="Q2" t="s">
        <v>269</v>
      </c>
      <c r="R2" t="s">
        <v>270</v>
      </c>
      <c r="S2" t="s">
        <v>104</v>
      </c>
      <c r="T2">
        <v>0</v>
      </c>
      <c r="U2">
        <v>30</v>
      </c>
      <c r="V2">
        <v>30</v>
      </c>
      <c r="W2" t="s">
        <v>105</v>
      </c>
      <c r="X2" t="s">
        <v>106</v>
      </c>
      <c r="Y2" t="s">
        <v>107</v>
      </c>
      <c r="Z2" t="s">
        <v>108</v>
      </c>
      <c r="AA2">
        <v>384</v>
      </c>
      <c r="AB2">
        <v>399</v>
      </c>
      <c r="AC2" t="s">
        <v>109</v>
      </c>
      <c r="AD2" t="s">
        <v>180</v>
      </c>
      <c r="AE2" s="3">
        <v>190531990000</v>
      </c>
      <c r="AF2" t="s">
        <v>111</v>
      </c>
      <c r="AG2" t="s">
        <v>270</v>
      </c>
      <c r="AH2" t="s">
        <v>112</v>
      </c>
      <c r="AI2">
        <v>8</v>
      </c>
      <c r="AJ2">
        <v>128</v>
      </c>
      <c r="AK2">
        <v>133</v>
      </c>
      <c r="AL2" t="s">
        <v>113</v>
      </c>
      <c r="AM2" s="6">
        <v>554.96</v>
      </c>
      <c r="AN2" s="6">
        <f>AM2*1.08</f>
        <v>599.35680000000013</v>
      </c>
      <c r="AO2" s="6">
        <f t="shared" ref="AO2:AO57" si="1">AM2*0.1</f>
        <v>55.496000000000009</v>
      </c>
      <c r="AP2" s="6">
        <f t="shared" ref="AP2:AP57" si="2">AM2*0.03</f>
        <v>16.648800000000001</v>
      </c>
      <c r="AQ2" s="6">
        <f t="shared" ref="AQ2:AQ57" si="3">AM2+AO2+AP2</f>
        <v>627.10480000000007</v>
      </c>
      <c r="AR2">
        <v>501</v>
      </c>
      <c r="AS2" s="6">
        <f>AQ2*1.1</f>
        <v>689.81528000000014</v>
      </c>
      <c r="AT2" s="6">
        <v>0</v>
      </c>
      <c r="AU2" s="6">
        <f>AS2*1.2</f>
        <v>827.77833600000019</v>
      </c>
      <c r="AV2" s="6">
        <f>AU2-AQ2</f>
        <v>200.67353600000013</v>
      </c>
      <c r="AW2" s="6">
        <f>AU2</f>
        <v>827.77833600000019</v>
      </c>
      <c r="AX2" t="s">
        <v>118</v>
      </c>
      <c r="AY2" t="s">
        <v>271</v>
      </c>
      <c r="AZ2" s="3">
        <v>804100000000</v>
      </c>
      <c r="BA2" t="s">
        <v>116</v>
      </c>
      <c r="BB2" t="s">
        <v>270</v>
      </c>
      <c r="BC2" t="s">
        <v>117</v>
      </c>
      <c r="BD2">
        <v>19</v>
      </c>
      <c r="BE2">
        <v>128</v>
      </c>
      <c r="BF2">
        <v>133</v>
      </c>
      <c r="BG2" t="s">
        <v>113</v>
      </c>
      <c r="BH2" s="6">
        <v>695.12</v>
      </c>
      <c r="BI2" s="6">
        <f>BH2*1.08</f>
        <v>750.7296</v>
      </c>
      <c r="BJ2" s="6">
        <f t="shared" ref="BJ2:BJ57" si="4">BH2*0.1</f>
        <v>69.512</v>
      </c>
      <c r="BK2" s="6">
        <f t="shared" ref="BK2:BK57" si="5">BH2*0.03</f>
        <v>20.8536</v>
      </c>
      <c r="BL2" s="6">
        <f t="shared" ref="BL2:BL57" si="6">BH2+BJ2+BK2</f>
        <v>785.48560000000009</v>
      </c>
      <c r="BM2" s="6">
        <v>501</v>
      </c>
      <c r="BN2" s="6">
        <v>0</v>
      </c>
      <c r="BO2" s="6">
        <v>0</v>
      </c>
      <c r="BP2" s="6">
        <f>BL2*1.2</f>
        <v>942.58272000000011</v>
      </c>
      <c r="BQ2" s="6">
        <f t="shared" ref="BQ2:BQ57" si="7">BP2-BL2</f>
        <v>157.09712000000002</v>
      </c>
      <c r="BR2" s="6">
        <f t="shared" ref="BR2:BR57" si="8">BP2</f>
        <v>942.58272000000011</v>
      </c>
      <c r="BS2" t="s">
        <v>118</v>
      </c>
      <c r="BT2" t="s">
        <v>272</v>
      </c>
      <c r="BU2" s="3">
        <v>100199000000</v>
      </c>
      <c r="BV2" t="s">
        <v>120</v>
      </c>
      <c r="BW2" t="s">
        <v>270</v>
      </c>
      <c r="BX2" t="s">
        <v>117</v>
      </c>
      <c r="BY2">
        <v>10</v>
      </c>
      <c r="BZ2">
        <v>128</v>
      </c>
      <c r="CA2">
        <v>133</v>
      </c>
      <c r="CB2" t="s">
        <v>113</v>
      </c>
      <c r="CC2" s="6">
        <v>703.67</v>
      </c>
      <c r="CD2" s="6">
        <f>CC2*1.08</f>
        <v>759.96360000000004</v>
      </c>
      <c r="CE2" s="6">
        <f t="shared" ref="CE2:CE57" si="9">CC2*0.1</f>
        <v>70.367000000000004</v>
      </c>
      <c r="CF2" s="6">
        <f t="shared" ref="CF2:CF57" si="10">CC2*0.03</f>
        <v>21.110099999999999</v>
      </c>
      <c r="CG2" s="6">
        <f t="shared" ref="CG2:CG57" si="11">CC2+CE2+CF2</f>
        <v>795.14709999999991</v>
      </c>
      <c r="CH2" s="6">
        <v>501</v>
      </c>
      <c r="CI2" s="6">
        <v>0</v>
      </c>
      <c r="CJ2" s="6">
        <v>0</v>
      </c>
      <c r="CK2" s="6">
        <f>CG2*1.01</f>
        <v>803.09857099999988</v>
      </c>
      <c r="CL2" s="6">
        <f t="shared" ref="CL2:CL57" si="12">CK2-CG2</f>
        <v>7.9514709999999695</v>
      </c>
      <c r="CM2" s="6">
        <f t="shared" ref="CM2:CM57" si="13">CK2</f>
        <v>803.09857099999988</v>
      </c>
      <c r="CN2" t="s">
        <v>118</v>
      </c>
      <c r="CO2" t="s">
        <v>273</v>
      </c>
      <c r="CP2">
        <f t="shared" ref="CP2:CP57" ca="1" si="14">RAND()</f>
        <v>0.2113128188617841</v>
      </c>
      <c r="CR2" s="10"/>
    </row>
    <row r="3" spans="1:97" x14ac:dyDescent="0.35">
      <c r="A3">
        <v>1222603003</v>
      </c>
      <c r="B3" t="s">
        <v>122</v>
      </c>
      <c r="C3" t="s">
        <v>545</v>
      </c>
      <c r="D3" t="s">
        <v>93</v>
      </c>
      <c r="E3">
        <v>4000</v>
      </c>
      <c r="F3" t="s">
        <v>94</v>
      </c>
      <c r="G3" t="s">
        <v>95</v>
      </c>
      <c r="H3" t="s">
        <v>96</v>
      </c>
      <c r="I3" t="s">
        <v>203</v>
      </c>
      <c r="J3" t="s">
        <v>98</v>
      </c>
      <c r="K3" s="6">
        <f t="shared" si="0"/>
        <v>36146.479776</v>
      </c>
      <c r="L3" t="s">
        <v>99</v>
      </c>
      <c r="M3" t="s">
        <v>100</v>
      </c>
      <c r="N3" t="s">
        <v>204</v>
      </c>
      <c r="O3" t="s">
        <v>96</v>
      </c>
      <c r="P3" t="s">
        <v>96</v>
      </c>
      <c r="Q3" t="s">
        <v>546</v>
      </c>
      <c r="R3" t="s">
        <v>206</v>
      </c>
      <c r="S3" t="s">
        <v>104</v>
      </c>
      <c r="T3">
        <v>0</v>
      </c>
      <c r="U3">
        <v>30</v>
      </c>
      <c r="V3">
        <v>30</v>
      </c>
      <c r="W3" t="s">
        <v>105</v>
      </c>
      <c r="X3" t="s">
        <v>106</v>
      </c>
      <c r="Y3" t="s">
        <v>107</v>
      </c>
      <c r="Z3" t="s">
        <v>108</v>
      </c>
      <c r="AA3">
        <v>630</v>
      </c>
      <c r="AB3">
        <v>645</v>
      </c>
      <c r="AC3" t="s">
        <v>109</v>
      </c>
      <c r="AD3" t="s">
        <v>193</v>
      </c>
      <c r="AE3" s="3">
        <v>870323190000</v>
      </c>
      <c r="AF3" t="s">
        <v>194</v>
      </c>
      <c r="AG3" t="s">
        <v>206</v>
      </c>
      <c r="AH3" t="s">
        <v>195</v>
      </c>
      <c r="AI3">
        <v>13</v>
      </c>
      <c r="AJ3">
        <v>210</v>
      </c>
      <c r="AK3">
        <v>215</v>
      </c>
      <c r="AL3" t="s">
        <v>113</v>
      </c>
      <c r="AM3" s="6">
        <v>7278.32</v>
      </c>
      <c r="AN3" s="6">
        <f>AM3*1.08</f>
        <v>7860.5856000000003</v>
      </c>
      <c r="AO3" s="6">
        <f t="shared" si="1"/>
        <v>727.83199999999999</v>
      </c>
      <c r="AP3" s="6">
        <f t="shared" si="2"/>
        <v>218.34959999999998</v>
      </c>
      <c r="AQ3" s="6">
        <f t="shared" si="3"/>
        <v>8224.5015999999996</v>
      </c>
      <c r="AR3">
        <v>602</v>
      </c>
      <c r="AS3" s="6">
        <v>0</v>
      </c>
      <c r="AT3" s="6">
        <f>AQ3*1.8</f>
        <v>14804.10288</v>
      </c>
      <c r="AU3" s="6">
        <f>AT3*1.2</f>
        <v>17764.923456</v>
      </c>
      <c r="AV3" s="6">
        <f>AU3-AQ3</f>
        <v>9540.4218560000008</v>
      </c>
      <c r="AW3" s="6">
        <f>AU3</f>
        <v>17764.923456</v>
      </c>
      <c r="AX3" t="s">
        <v>114</v>
      </c>
      <c r="AY3" t="s">
        <v>547</v>
      </c>
      <c r="AZ3" s="3">
        <v>842720000000</v>
      </c>
      <c r="BA3" t="s">
        <v>197</v>
      </c>
      <c r="BB3" t="s">
        <v>206</v>
      </c>
      <c r="BC3" t="s">
        <v>195</v>
      </c>
      <c r="BD3">
        <v>8</v>
      </c>
      <c r="BE3">
        <v>210</v>
      </c>
      <c r="BF3">
        <v>215</v>
      </c>
      <c r="BG3" t="s">
        <v>113</v>
      </c>
      <c r="BH3" s="6">
        <v>6163.81</v>
      </c>
      <c r="BI3" s="6">
        <f>BH3*1.08</f>
        <v>6656.9148000000005</v>
      </c>
      <c r="BJ3" s="6">
        <f t="shared" si="4"/>
        <v>616.38100000000009</v>
      </c>
      <c r="BK3" s="6">
        <f t="shared" si="5"/>
        <v>184.9143</v>
      </c>
      <c r="BL3" s="6">
        <f t="shared" si="6"/>
        <v>6965.1053000000011</v>
      </c>
      <c r="BM3" s="6">
        <v>501</v>
      </c>
      <c r="BN3" s="6">
        <v>0</v>
      </c>
      <c r="BO3" s="6">
        <v>0</v>
      </c>
      <c r="BP3" s="6">
        <f>BL3*1.2</f>
        <v>8358.1263600000002</v>
      </c>
      <c r="BQ3" s="6">
        <f t="shared" si="7"/>
        <v>1393.0210599999991</v>
      </c>
      <c r="BR3" s="6">
        <f t="shared" si="8"/>
        <v>8358.1263600000002</v>
      </c>
      <c r="BS3" t="s">
        <v>114</v>
      </c>
      <c r="BT3" t="s">
        <v>548</v>
      </c>
      <c r="BU3" s="3">
        <v>640399930000</v>
      </c>
      <c r="BV3" t="s">
        <v>199</v>
      </c>
      <c r="BW3" t="s">
        <v>206</v>
      </c>
      <c r="BX3" t="s">
        <v>112</v>
      </c>
      <c r="BY3">
        <v>17</v>
      </c>
      <c r="BZ3">
        <v>210</v>
      </c>
      <c r="CA3">
        <v>215</v>
      </c>
      <c r="CB3" t="s">
        <v>113</v>
      </c>
      <c r="CC3" s="6">
        <v>7391.91</v>
      </c>
      <c r="CD3" s="6">
        <f>CC3*1.08</f>
        <v>7983.2628000000004</v>
      </c>
      <c r="CE3" s="6">
        <f t="shared" si="9"/>
        <v>739.19100000000003</v>
      </c>
      <c r="CF3" s="6">
        <f t="shared" si="10"/>
        <v>221.75729999999999</v>
      </c>
      <c r="CG3" s="6">
        <f t="shared" si="11"/>
        <v>8352.8582999999999</v>
      </c>
      <c r="CH3" s="6">
        <v>501</v>
      </c>
      <c r="CI3" s="6">
        <v>0</v>
      </c>
      <c r="CJ3" s="6">
        <v>0</v>
      </c>
      <c r="CK3" s="6">
        <f>CG3*1.2</f>
        <v>10023.429959999999</v>
      </c>
      <c r="CL3" s="6">
        <f t="shared" si="12"/>
        <v>1670.5716599999996</v>
      </c>
      <c r="CM3" s="6">
        <f t="shared" si="13"/>
        <v>10023.429959999999</v>
      </c>
      <c r="CN3" t="s">
        <v>114</v>
      </c>
      <c r="CO3" t="s">
        <v>549</v>
      </c>
      <c r="CP3">
        <f t="shared" ca="1" si="14"/>
        <v>0.71777867012039476</v>
      </c>
    </row>
    <row r="4" spans="1:97" x14ac:dyDescent="0.35">
      <c r="A4">
        <v>1222603004</v>
      </c>
      <c r="B4" t="s">
        <v>135</v>
      </c>
      <c r="C4" t="s">
        <v>533</v>
      </c>
      <c r="D4" t="s">
        <v>93</v>
      </c>
      <c r="E4">
        <v>4000</v>
      </c>
      <c r="F4" t="s">
        <v>94</v>
      </c>
      <c r="G4" t="s">
        <v>95</v>
      </c>
      <c r="H4" t="s">
        <v>96</v>
      </c>
      <c r="I4" t="s">
        <v>175</v>
      </c>
      <c r="J4" t="s">
        <v>176</v>
      </c>
      <c r="K4" s="6">
        <f t="shared" si="0"/>
        <v>4890.7308703999997</v>
      </c>
      <c r="L4" t="s">
        <v>99</v>
      </c>
      <c r="M4" t="s">
        <v>100</v>
      </c>
      <c r="N4" t="s">
        <v>177</v>
      </c>
      <c r="O4" t="s">
        <v>96</v>
      </c>
      <c r="P4" t="s">
        <v>96</v>
      </c>
      <c r="Q4" t="s">
        <v>534</v>
      </c>
      <c r="R4" t="s">
        <v>179</v>
      </c>
      <c r="S4" t="s">
        <v>104</v>
      </c>
      <c r="T4">
        <v>0</v>
      </c>
      <c r="U4">
        <v>30</v>
      </c>
      <c r="V4">
        <v>30</v>
      </c>
      <c r="W4" t="s">
        <v>105</v>
      </c>
      <c r="X4" t="s">
        <v>106</v>
      </c>
      <c r="Y4" t="s">
        <v>107</v>
      </c>
      <c r="Z4" t="s">
        <v>108</v>
      </c>
      <c r="AA4">
        <v>618</v>
      </c>
      <c r="AB4">
        <v>633</v>
      </c>
      <c r="AC4" t="s">
        <v>109</v>
      </c>
      <c r="AD4" t="s">
        <v>425</v>
      </c>
      <c r="AE4" s="3">
        <v>401110000000</v>
      </c>
      <c r="AF4" t="s">
        <v>167</v>
      </c>
      <c r="AG4" t="s">
        <v>179</v>
      </c>
      <c r="AH4" t="s">
        <v>112</v>
      </c>
      <c r="AI4">
        <v>9</v>
      </c>
      <c r="AJ4">
        <v>206</v>
      </c>
      <c r="AK4">
        <v>211</v>
      </c>
      <c r="AL4" t="s">
        <v>113</v>
      </c>
      <c r="AM4" s="6">
        <v>1088.3499999999999</v>
      </c>
      <c r="AN4" s="6">
        <v>3409.27</v>
      </c>
      <c r="AO4" s="6">
        <f t="shared" si="1"/>
        <v>108.83499999999999</v>
      </c>
      <c r="AP4" s="6">
        <f t="shared" si="2"/>
        <v>32.650499999999994</v>
      </c>
      <c r="AQ4" s="6">
        <f t="shared" si="3"/>
        <v>1229.8354999999999</v>
      </c>
      <c r="AR4">
        <v>501</v>
      </c>
      <c r="AS4" s="6">
        <v>0</v>
      </c>
      <c r="AT4" s="6">
        <v>0</v>
      </c>
      <c r="AU4" s="6">
        <f>AQ4*1.2</f>
        <v>1475.8025999999998</v>
      </c>
      <c r="AV4" s="6">
        <v>280.10000000000002</v>
      </c>
      <c r="AW4" s="6">
        <v>1680.62</v>
      </c>
      <c r="AX4" t="s">
        <v>114</v>
      </c>
      <c r="AY4" t="s">
        <v>535</v>
      </c>
      <c r="AZ4" s="3">
        <v>843141000000</v>
      </c>
      <c r="BA4" t="s">
        <v>169</v>
      </c>
      <c r="BB4" t="s">
        <v>179</v>
      </c>
      <c r="BC4" t="s">
        <v>112</v>
      </c>
      <c r="BD4">
        <v>11</v>
      </c>
      <c r="BE4">
        <v>206</v>
      </c>
      <c r="BF4">
        <v>211</v>
      </c>
      <c r="BG4" t="s">
        <v>113</v>
      </c>
      <c r="BH4" s="6">
        <v>874.08</v>
      </c>
      <c r="BI4" s="6">
        <v>3409.27</v>
      </c>
      <c r="BJ4" s="6">
        <f t="shared" si="4"/>
        <v>87.408000000000015</v>
      </c>
      <c r="BK4" s="6">
        <f t="shared" si="5"/>
        <v>26.2224</v>
      </c>
      <c r="BL4" s="6">
        <f t="shared" si="6"/>
        <v>987.71040000000005</v>
      </c>
      <c r="BM4" s="6">
        <v>501</v>
      </c>
      <c r="BN4" s="6">
        <f>BL4*1.02</f>
        <v>1007.4646080000001</v>
      </c>
      <c r="BO4" s="6">
        <v>0</v>
      </c>
      <c r="BP4" s="6">
        <f>BN4*1.2</f>
        <v>1208.9575296</v>
      </c>
      <c r="BQ4" s="6">
        <f t="shared" si="7"/>
        <v>221.24712959999999</v>
      </c>
      <c r="BR4" s="6">
        <f t="shared" si="8"/>
        <v>1208.9575296</v>
      </c>
      <c r="BS4" t="s">
        <v>114</v>
      </c>
      <c r="BT4" t="s">
        <v>536</v>
      </c>
      <c r="BU4" s="3">
        <v>850421000000</v>
      </c>
      <c r="BV4" t="s">
        <v>171</v>
      </c>
      <c r="BW4" t="s">
        <v>179</v>
      </c>
      <c r="BX4" t="s">
        <v>112</v>
      </c>
      <c r="BY4">
        <v>13</v>
      </c>
      <c r="BZ4">
        <v>206</v>
      </c>
      <c r="CA4">
        <v>211</v>
      </c>
      <c r="CB4" t="s">
        <v>113</v>
      </c>
      <c r="CC4" s="6">
        <v>1446.84</v>
      </c>
      <c r="CD4" s="6">
        <v>3409.27</v>
      </c>
      <c r="CE4" s="6">
        <f t="shared" si="9"/>
        <v>144.684</v>
      </c>
      <c r="CF4" s="6">
        <f t="shared" si="10"/>
        <v>43.405199999999994</v>
      </c>
      <c r="CG4" s="6">
        <f t="shared" si="11"/>
        <v>1634.9291999999998</v>
      </c>
      <c r="CH4" s="6">
        <v>501</v>
      </c>
      <c r="CI4" s="6">
        <f>CG4*1.02</f>
        <v>1667.6277839999998</v>
      </c>
      <c r="CJ4" s="6">
        <v>0</v>
      </c>
      <c r="CK4" s="6">
        <f>CI4*1.2</f>
        <v>2001.1533407999996</v>
      </c>
      <c r="CL4" s="6">
        <f t="shared" si="12"/>
        <v>366.22414079999976</v>
      </c>
      <c r="CM4" s="6">
        <f t="shared" si="13"/>
        <v>2001.1533407999996</v>
      </c>
      <c r="CN4" t="s">
        <v>114</v>
      </c>
      <c r="CO4" t="s">
        <v>537</v>
      </c>
      <c r="CP4">
        <f t="shared" ca="1" si="14"/>
        <v>0.87979596127737814</v>
      </c>
    </row>
    <row r="5" spans="1:97" x14ac:dyDescent="0.35">
      <c r="A5">
        <v>1222603006</v>
      </c>
      <c r="B5" t="s">
        <v>148</v>
      </c>
      <c r="C5" t="s">
        <v>497</v>
      </c>
      <c r="D5" t="s">
        <v>93</v>
      </c>
      <c r="E5">
        <v>4000</v>
      </c>
      <c r="F5" t="s">
        <v>94</v>
      </c>
      <c r="G5" t="s">
        <v>95</v>
      </c>
      <c r="H5" t="s">
        <v>96</v>
      </c>
      <c r="I5" t="s">
        <v>350</v>
      </c>
      <c r="J5" t="s">
        <v>176</v>
      </c>
      <c r="K5" s="6">
        <f t="shared" si="0"/>
        <v>3934.3310796000005</v>
      </c>
      <c r="L5" t="s">
        <v>99</v>
      </c>
      <c r="M5" t="s">
        <v>100</v>
      </c>
      <c r="N5" t="s">
        <v>351</v>
      </c>
      <c r="O5" t="s">
        <v>96</v>
      </c>
      <c r="P5" t="s">
        <v>96</v>
      </c>
      <c r="Q5" t="s">
        <v>498</v>
      </c>
      <c r="R5" t="s">
        <v>279</v>
      </c>
      <c r="S5" t="s">
        <v>104</v>
      </c>
      <c r="T5">
        <v>0</v>
      </c>
      <c r="U5">
        <v>30</v>
      </c>
      <c r="V5">
        <v>30</v>
      </c>
      <c r="W5" t="s">
        <v>105</v>
      </c>
      <c r="X5" t="s">
        <v>106</v>
      </c>
      <c r="Y5" t="s">
        <v>107</v>
      </c>
      <c r="Z5" t="s">
        <v>108</v>
      </c>
      <c r="AA5">
        <v>582</v>
      </c>
      <c r="AB5">
        <v>597</v>
      </c>
      <c r="AC5" t="s">
        <v>109</v>
      </c>
      <c r="AD5" t="s">
        <v>193</v>
      </c>
      <c r="AE5" s="3">
        <v>940360100000</v>
      </c>
      <c r="AF5" t="s">
        <v>181</v>
      </c>
      <c r="AG5" t="s">
        <v>279</v>
      </c>
      <c r="AH5" t="s">
        <v>182</v>
      </c>
      <c r="AI5">
        <v>12</v>
      </c>
      <c r="AJ5">
        <v>194</v>
      </c>
      <c r="AK5">
        <v>199</v>
      </c>
      <c r="AL5" t="s">
        <v>113</v>
      </c>
      <c r="AM5" s="6">
        <v>1070.01</v>
      </c>
      <c r="AN5" s="6">
        <v>2752.48</v>
      </c>
      <c r="AO5" s="6">
        <f t="shared" si="1"/>
        <v>107.001</v>
      </c>
      <c r="AP5" s="6">
        <f t="shared" si="2"/>
        <v>32.100299999999997</v>
      </c>
      <c r="AQ5" s="6">
        <f t="shared" si="3"/>
        <v>1209.1113</v>
      </c>
      <c r="AR5">
        <v>501</v>
      </c>
      <c r="AS5" s="6">
        <f>AQ5*1.05</f>
        <v>1269.566865</v>
      </c>
      <c r="AT5" s="6">
        <v>0</v>
      </c>
      <c r="AU5" s="6">
        <f>AS5*1.2</f>
        <v>1523.4802379999999</v>
      </c>
      <c r="AV5" s="6">
        <f>AU5-AQ5</f>
        <v>314.36893799999984</v>
      </c>
      <c r="AW5" s="6">
        <f>AU5</f>
        <v>1523.4802379999999</v>
      </c>
      <c r="AX5" t="s">
        <v>118</v>
      </c>
      <c r="AY5" t="s">
        <v>499</v>
      </c>
      <c r="AZ5" s="3">
        <v>440711100000</v>
      </c>
      <c r="BA5" t="s">
        <v>184</v>
      </c>
      <c r="BB5" t="s">
        <v>279</v>
      </c>
      <c r="BC5" t="s">
        <v>103</v>
      </c>
      <c r="BD5">
        <v>20</v>
      </c>
      <c r="BE5">
        <v>194</v>
      </c>
      <c r="BF5">
        <v>199</v>
      </c>
      <c r="BG5" t="s">
        <v>113</v>
      </c>
      <c r="BH5" s="6">
        <v>978.85</v>
      </c>
      <c r="BI5" s="6">
        <v>2752.48</v>
      </c>
      <c r="BJ5" s="6">
        <f t="shared" si="4"/>
        <v>97.885000000000005</v>
      </c>
      <c r="BK5" s="6">
        <f t="shared" si="5"/>
        <v>29.365500000000001</v>
      </c>
      <c r="BL5" s="6">
        <f t="shared" si="6"/>
        <v>1106.1005000000002</v>
      </c>
      <c r="BM5" s="6">
        <v>501</v>
      </c>
      <c r="BN5" s="6">
        <f>BL5*1.04</f>
        <v>1150.3445200000003</v>
      </c>
      <c r="BO5" s="6">
        <v>0</v>
      </c>
      <c r="BP5" s="6">
        <f>BN5*1.2</f>
        <v>1380.4134240000003</v>
      </c>
      <c r="BQ5" s="6">
        <f t="shared" si="7"/>
        <v>274.31292400000007</v>
      </c>
      <c r="BR5" s="6">
        <f t="shared" si="8"/>
        <v>1380.4134240000003</v>
      </c>
      <c r="BS5" t="s">
        <v>118</v>
      </c>
      <c r="BT5" t="s">
        <v>500</v>
      </c>
      <c r="BU5" s="3">
        <v>690721000000</v>
      </c>
      <c r="BV5" t="s">
        <v>186</v>
      </c>
      <c r="BW5" t="s">
        <v>279</v>
      </c>
      <c r="BX5" t="s">
        <v>112</v>
      </c>
      <c r="BY5">
        <v>10</v>
      </c>
      <c r="BZ5">
        <v>194</v>
      </c>
      <c r="CA5">
        <v>199</v>
      </c>
      <c r="CB5" t="s">
        <v>113</v>
      </c>
      <c r="CC5" s="6">
        <v>703.62</v>
      </c>
      <c r="CD5" s="6">
        <v>2752.48</v>
      </c>
      <c r="CE5" s="6">
        <f t="shared" si="9"/>
        <v>70.362000000000009</v>
      </c>
      <c r="CF5" s="6">
        <f t="shared" si="10"/>
        <v>21.108599999999999</v>
      </c>
      <c r="CG5" s="6">
        <f t="shared" si="11"/>
        <v>795.09059999999999</v>
      </c>
      <c r="CH5" s="6">
        <v>501</v>
      </c>
      <c r="CI5" s="6">
        <f>CG5*1.08</f>
        <v>858.69784800000002</v>
      </c>
      <c r="CJ5" s="6">
        <v>0</v>
      </c>
      <c r="CK5" s="6">
        <f>CI5*1.2</f>
        <v>1030.4374175999999</v>
      </c>
      <c r="CL5" s="6">
        <f t="shared" si="12"/>
        <v>235.34681759999989</v>
      </c>
      <c r="CM5" s="6">
        <f t="shared" si="13"/>
        <v>1030.4374175999999</v>
      </c>
      <c r="CN5" t="s">
        <v>118</v>
      </c>
      <c r="CO5" t="s">
        <v>501</v>
      </c>
      <c r="CP5">
        <f t="shared" ca="1" si="14"/>
        <v>0.27044460173440199</v>
      </c>
    </row>
    <row r="6" spans="1:97" x14ac:dyDescent="0.35">
      <c r="A6">
        <v>1222603007</v>
      </c>
      <c r="B6" t="s">
        <v>160</v>
      </c>
      <c r="C6" t="s">
        <v>393</v>
      </c>
      <c r="D6" t="s">
        <v>93</v>
      </c>
      <c r="E6">
        <v>4000</v>
      </c>
      <c r="F6" t="s">
        <v>94</v>
      </c>
      <c r="G6" t="s">
        <v>95</v>
      </c>
      <c r="H6" t="s">
        <v>96</v>
      </c>
      <c r="I6" t="s">
        <v>190</v>
      </c>
      <c r="J6" t="s">
        <v>98</v>
      </c>
      <c r="K6" s="6">
        <f t="shared" si="0"/>
        <v>2175.6748800000005</v>
      </c>
      <c r="L6" t="s">
        <v>99</v>
      </c>
      <c r="M6" t="s">
        <v>100</v>
      </c>
      <c r="N6" t="s">
        <v>191</v>
      </c>
      <c r="O6" t="s">
        <v>96</v>
      </c>
      <c r="P6" t="s">
        <v>96</v>
      </c>
      <c r="Q6" t="s">
        <v>394</v>
      </c>
      <c r="R6" t="s">
        <v>127</v>
      </c>
      <c r="S6" t="s">
        <v>104</v>
      </c>
      <c r="T6">
        <v>0</v>
      </c>
      <c r="U6">
        <v>30</v>
      </c>
      <c r="V6">
        <v>30</v>
      </c>
      <c r="W6" t="s">
        <v>105</v>
      </c>
      <c r="X6" t="s">
        <v>106</v>
      </c>
      <c r="Y6" t="s">
        <v>107</v>
      </c>
      <c r="Z6" t="s">
        <v>108</v>
      </c>
      <c r="AA6">
        <v>480</v>
      </c>
      <c r="AB6">
        <v>495</v>
      </c>
      <c r="AC6" t="s">
        <v>109</v>
      </c>
      <c r="AD6" t="s">
        <v>344</v>
      </c>
      <c r="AE6" s="3">
        <v>610910000000</v>
      </c>
      <c r="AF6" t="s">
        <v>141</v>
      </c>
      <c r="AG6" t="s">
        <v>127</v>
      </c>
      <c r="AH6" t="s">
        <v>142</v>
      </c>
      <c r="AI6">
        <v>17</v>
      </c>
      <c r="AJ6">
        <v>160</v>
      </c>
      <c r="AK6">
        <v>165</v>
      </c>
      <c r="AL6" t="s">
        <v>113</v>
      </c>
      <c r="AM6" s="6">
        <v>494.06</v>
      </c>
      <c r="AN6" s="6">
        <f>AM6*1.08</f>
        <v>533.58480000000009</v>
      </c>
      <c r="AO6" s="6">
        <f t="shared" si="1"/>
        <v>49.406000000000006</v>
      </c>
      <c r="AP6" s="6">
        <f t="shared" si="2"/>
        <v>14.8218</v>
      </c>
      <c r="AQ6" s="6">
        <f t="shared" si="3"/>
        <v>558.28780000000006</v>
      </c>
      <c r="AR6">
        <v>501</v>
      </c>
      <c r="AS6" s="6">
        <v>0</v>
      </c>
      <c r="AT6" s="6">
        <v>0</v>
      </c>
      <c r="AU6" s="6">
        <f>AQ6*1.2</f>
        <v>669.94536000000005</v>
      </c>
      <c r="AV6" s="6">
        <f>AU6-AQ6</f>
        <v>111.65755999999999</v>
      </c>
      <c r="AW6" s="6">
        <f>AU6</f>
        <v>669.94536000000005</v>
      </c>
      <c r="AX6" t="s">
        <v>114</v>
      </c>
      <c r="AY6" t="s">
        <v>395</v>
      </c>
      <c r="AZ6" s="3">
        <v>620342000000</v>
      </c>
      <c r="BA6" t="s">
        <v>144</v>
      </c>
      <c r="BB6" t="s">
        <v>127</v>
      </c>
      <c r="BC6" t="s">
        <v>142</v>
      </c>
      <c r="BD6">
        <v>13</v>
      </c>
      <c r="BE6">
        <v>160</v>
      </c>
      <c r="BF6">
        <v>165</v>
      </c>
      <c r="BG6" t="s">
        <v>113</v>
      </c>
      <c r="BH6" s="6">
        <v>551.34</v>
      </c>
      <c r="BI6" s="6">
        <f>BH6*1.08</f>
        <v>595.44720000000007</v>
      </c>
      <c r="BJ6" s="6">
        <f t="shared" si="4"/>
        <v>55.134000000000007</v>
      </c>
      <c r="BK6" s="6">
        <f t="shared" si="5"/>
        <v>16.540199999999999</v>
      </c>
      <c r="BL6" s="6">
        <f t="shared" si="6"/>
        <v>623.01420000000007</v>
      </c>
      <c r="BM6" s="6">
        <v>501</v>
      </c>
      <c r="BN6" s="6">
        <v>0</v>
      </c>
      <c r="BO6" s="6">
        <v>0</v>
      </c>
      <c r="BP6" s="6">
        <f>BL6*1.2</f>
        <v>747.61704000000009</v>
      </c>
      <c r="BQ6" s="6">
        <f t="shared" si="7"/>
        <v>124.60284000000001</v>
      </c>
      <c r="BR6" s="6">
        <f t="shared" si="8"/>
        <v>747.61704000000009</v>
      </c>
      <c r="BS6" t="s">
        <v>114</v>
      </c>
      <c r="BT6" t="s">
        <v>396</v>
      </c>
      <c r="BU6" s="3">
        <v>520512000000</v>
      </c>
      <c r="BV6" t="s">
        <v>146</v>
      </c>
      <c r="BW6" t="s">
        <v>127</v>
      </c>
      <c r="BX6" t="s">
        <v>142</v>
      </c>
      <c r="BY6">
        <v>9</v>
      </c>
      <c r="BZ6">
        <v>160</v>
      </c>
      <c r="CA6">
        <v>165</v>
      </c>
      <c r="CB6" t="s">
        <v>113</v>
      </c>
      <c r="CC6" s="6">
        <v>559.08000000000004</v>
      </c>
      <c r="CD6" s="6">
        <f>CC6*1.08</f>
        <v>603.80640000000005</v>
      </c>
      <c r="CE6" s="6">
        <f t="shared" si="9"/>
        <v>55.908000000000008</v>
      </c>
      <c r="CF6" s="6">
        <f t="shared" si="10"/>
        <v>16.772400000000001</v>
      </c>
      <c r="CG6" s="6">
        <f t="shared" si="11"/>
        <v>631.7604</v>
      </c>
      <c r="CH6" s="6">
        <v>501</v>
      </c>
      <c r="CI6" s="6">
        <v>0</v>
      </c>
      <c r="CJ6" s="6">
        <v>0</v>
      </c>
      <c r="CK6" s="6">
        <f>CG6*1.2</f>
        <v>758.11248000000001</v>
      </c>
      <c r="CL6" s="6">
        <f t="shared" si="12"/>
        <v>126.35208</v>
      </c>
      <c r="CM6" s="6">
        <f t="shared" si="13"/>
        <v>758.11248000000001</v>
      </c>
      <c r="CN6" t="s">
        <v>114</v>
      </c>
      <c r="CO6" t="s">
        <v>397</v>
      </c>
      <c r="CP6">
        <f t="shared" ca="1" si="14"/>
        <v>0.66254617717869502</v>
      </c>
    </row>
    <row r="7" spans="1:97" x14ac:dyDescent="0.35">
      <c r="A7">
        <v>1222603008</v>
      </c>
      <c r="B7" t="s">
        <v>173</v>
      </c>
      <c r="C7" t="s">
        <v>375</v>
      </c>
      <c r="D7" t="s">
        <v>93</v>
      </c>
      <c r="E7">
        <v>4000</v>
      </c>
      <c r="F7" t="s">
        <v>94</v>
      </c>
      <c r="G7" t="s">
        <v>95</v>
      </c>
      <c r="H7" t="s">
        <v>96</v>
      </c>
      <c r="I7" t="s">
        <v>150</v>
      </c>
      <c r="J7" t="s">
        <v>98</v>
      </c>
      <c r="K7" s="6">
        <f t="shared" si="0"/>
        <v>28159.482479999999</v>
      </c>
      <c r="L7" t="s">
        <v>99</v>
      </c>
      <c r="M7" t="s">
        <v>100</v>
      </c>
      <c r="N7" t="s">
        <v>151</v>
      </c>
      <c r="O7" t="s">
        <v>96</v>
      </c>
      <c r="P7" t="s">
        <v>96</v>
      </c>
      <c r="Q7" t="s">
        <v>376</v>
      </c>
      <c r="R7" t="s">
        <v>153</v>
      </c>
      <c r="S7" t="s">
        <v>104</v>
      </c>
      <c r="T7">
        <v>0</v>
      </c>
      <c r="U7">
        <v>30</v>
      </c>
      <c r="V7">
        <v>30</v>
      </c>
      <c r="W7" t="s">
        <v>105</v>
      </c>
      <c r="X7" t="s">
        <v>106</v>
      </c>
      <c r="Y7" t="s">
        <v>107</v>
      </c>
      <c r="Z7" t="s">
        <v>108</v>
      </c>
      <c r="AA7">
        <v>462</v>
      </c>
      <c r="AB7">
        <v>477</v>
      </c>
      <c r="AC7" t="s">
        <v>109</v>
      </c>
      <c r="AD7" t="s">
        <v>180</v>
      </c>
      <c r="AE7" s="3">
        <v>870323190000</v>
      </c>
      <c r="AF7" t="s">
        <v>194</v>
      </c>
      <c r="AG7" t="s">
        <v>153</v>
      </c>
      <c r="AH7" t="s">
        <v>195</v>
      </c>
      <c r="AI7">
        <v>14</v>
      </c>
      <c r="AJ7">
        <v>154</v>
      </c>
      <c r="AK7">
        <v>159</v>
      </c>
      <c r="AL7" t="s">
        <v>113</v>
      </c>
      <c r="AM7" s="6">
        <v>5256.7</v>
      </c>
      <c r="AN7" s="6">
        <f>AM7*1.08</f>
        <v>5677.2359999999999</v>
      </c>
      <c r="AO7" s="6">
        <f t="shared" si="1"/>
        <v>525.66999999999996</v>
      </c>
      <c r="AP7" s="6">
        <f t="shared" si="2"/>
        <v>157.70099999999999</v>
      </c>
      <c r="AQ7" s="6">
        <f t="shared" si="3"/>
        <v>5940.0709999999999</v>
      </c>
      <c r="AR7">
        <v>602</v>
      </c>
      <c r="AS7" s="6">
        <v>0</v>
      </c>
      <c r="AT7" s="6">
        <f>AQ7*1.8</f>
        <v>10692.1278</v>
      </c>
      <c r="AU7" s="6">
        <f>AT7*1.2</f>
        <v>12830.55336</v>
      </c>
      <c r="AV7" s="6">
        <f>AU7-AQ7</f>
        <v>6890.48236</v>
      </c>
      <c r="AW7" s="6">
        <f>AU7</f>
        <v>12830.55336</v>
      </c>
      <c r="AX7" t="s">
        <v>114</v>
      </c>
      <c r="AY7" t="s">
        <v>377</v>
      </c>
      <c r="AZ7" s="3">
        <v>842720000000</v>
      </c>
      <c r="BA7" t="s">
        <v>197</v>
      </c>
      <c r="BB7" t="s">
        <v>153</v>
      </c>
      <c r="BC7" t="s">
        <v>195</v>
      </c>
      <c r="BD7">
        <v>19</v>
      </c>
      <c r="BE7">
        <v>154</v>
      </c>
      <c r="BF7">
        <v>159</v>
      </c>
      <c r="BG7" t="s">
        <v>113</v>
      </c>
      <c r="BH7" s="6">
        <v>6195.08</v>
      </c>
      <c r="BI7" s="6">
        <f>BH7*1.08</f>
        <v>6690.6864000000005</v>
      </c>
      <c r="BJ7" s="6">
        <f t="shared" si="4"/>
        <v>619.50800000000004</v>
      </c>
      <c r="BK7" s="6">
        <f t="shared" si="5"/>
        <v>185.85239999999999</v>
      </c>
      <c r="BL7" s="6">
        <f t="shared" si="6"/>
        <v>7000.4403999999995</v>
      </c>
      <c r="BM7" s="6">
        <v>501</v>
      </c>
      <c r="BN7" s="6">
        <v>0</v>
      </c>
      <c r="BO7" s="6">
        <v>0</v>
      </c>
      <c r="BP7" s="6">
        <f>BL7*1.2</f>
        <v>8400.528479999999</v>
      </c>
      <c r="BQ7" s="6">
        <f t="shared" si="7"/>
        <v>1400.0880799999995</v>
      </c>
      <c r="BR7" s="6">
        <f t="shared" si="8"/>
        <v>8400.528479999999</v>
      </c>
      <c r="BS7" t="s">
        <v>114</v>
      </c>
      <c r="BT7" t="s">
        <v>378</v>
      </c>
      <c r="BU7" s="3">
        <v>640399930000</v>
      </c>
      <c r="BV7" t="s">
        <v>199</v>
      </c>
      <c r="BW7" t="s">
        <v>153</v>
      </c>
      <c r="BX7" t="s">
        <v>112</v>
      </c>
      <c r="BY7">
        <v>9</v>
      </c>
      <c r="BZ7">
        <v>154</v>
      </c>
      <c r="CA7">
        <v>159</v>
      </c>
      <c r="CB7" t="s">
        <v>113</v>
      </c>
      <c r="CC7" s="6">
        <v>5109.4399999999996</v>
      </c>
      <c r="CD7" s="6">
        <f>CC7*1.08</f>
        <v>5518.1952000000001</v>
      </c>
      <c r="CE7" s="6">
        <f t="shared" si="9"/>
        <v>510.94399999999996</v>
      </c>
      <c r="CF7" s="6">
        <f t="shared" si="10"/>
        <v>153.28319999999999</v>
      </c>
      <c r="CG7" s="6">
        <f t="shared" si="11"/>
        <v>5773.6671999999999</v>
      </c>
      <c r="CH7" s="6">
        <v>501</v>
      </c>
      <c r="CI7" s="6">
        <v>0</v>
      </c>
      <c r="CJ7" s="6">
        <v>0</v>
      </c>
      <c r="CK7" s="6">
        <f>CG7*1.2</f>
        <v>6928.4006399999998</v>
      </c>
      <c r="CL7" s="6">
        <f t="shared" si="12"/>
        <v>1154.73344</v>
      </c>
      <c r="CM7" s="6">
        <f t="shared" si="13"/>
        <v>6928.4006399999998</v>
      </c>
      <c r="CN7" t="s">
        <v>114</v>
      </c>
      <c r="CO7" t="s">
        <v>379</v>
      </c>
      <c r="CP7">
        <f t="shared" ca="1" si="14"/>
        <v>8.9262331730229794E-2</v>
      </c>
    </row>
    <row r="8" spans="1:97" x14ac:dyDescent="0.35">
      <c r="A8">
        <v>1222603009</v>
      </c>
      <c r="B8" t="s">
        <v>188</v>
      </c>
      <c r="C8" t="s">
        <v>405</v>
      </c>
      <c r="D8" t="s">
        <v>93</v>
      </c>
      <c r="E8">
        <v>4000</v>
      </c>
      <c r="F8" t="s">
        <v>94</v>
      </c>
      <c r="G8" t="s">
        <v>95</v>
      </c>
      <c r="H8" t="s">
        <v>96</v>
      </c>
      <c r="I8" t="s">
        <v>213</v>
      </c>
      <c r="J8" t="s">
        <v>98</v>
      </c>
      <c r="K8" s="6">
        <f t="shared" si="0"/>
        <v>8016.5984055999998</v>
      </c>
      <c r="L8" t="s">
        <v>99</v>
      </c>
      <c r="M8" t="s">
        <v>100</v>
      </c>
      <c r="N8" t="s">
        <v>214</v>
      </c>
      <c r="O8" t="s">
        <v>96</v>
      </c>
      <c r="P8" t="s">
        <v>96</v>
      </c>
      <c r="Q8" t="s">
        <v>406</v>
      </c>
      <c r="R8" t="s">
        <v>216</v>
      </c>
      <c r="S8" t="s">
        <v>104</v>
      </c>
      <c r="T8">
        <v>0</v>
      </c>
      <c r="U8">
        <v>30</v>
      </c>
      <c r="V8">
        <v>30</v>
      </c>
      <c r="W8" t="s">
        <v>105</v>
      </c>
      <c r="X8" t="s">
        <v>106</v>
      </c>
      <c r="Y8" t="s">
        <v>107</v>
      </c>
      <c r="Z8" t="s">
        <v>108</v>
      </c>
      <c r="AA8">
        <v>492</v>
      </c>
      <c r="AB8">
        <v>507</v>
      </c>
      <c r="AC8" t="s">
        <v>109</v>
      </c>
      <c r="AD8" t="s">
        <v>110</v>
      </c>
      <c r="AE8" s="3">
        <v>401110000000</v>
      </c>
      <c r="AF8" t="s">
        <v>167</v>
      </c>
      <c r="AG8" t="s">
        <v>216</v>
      </c>
      <c r="AH8" t="s">
        <v>112</v>
      </c>
      <c r="AI8">
        <v>7</v>
      </c>
      <c r="AJ8">
        <v>164</v>
      </c>
      <c r="AK8">
        <v>169</v>
      </c>
      <c r="AL8" t="s">
        <v>113</v>
      </c>
      <c r="AM8" s="6">
        <v>935.74</v>
      </c>
      <c r="AN8" s="6">
        <f>AM8*1.08</f>
        <v>1010.5992000000001</v>
      </c>
      <c r="AO8" s="6">
        <f t="shared" si="1"/>
        <v>93.574000000000012</v>
      </c>
      <c r="AP8" s="6">
        <f t="shared" si="2"/>
        <v>28.072199999999999</v>
      </c>
      <c r="AQ8" s="6">
        <f t="shared" si="3"/>
        <v>1057.3862000000001</v>
      </c>
      <c r="AR8">
        <v>501</v>
      </c>
      <c r="AS8" s="6">
        <v>0</v>
      </c>
      <c r="AT8" s="6">
        <v>0</v>
      </c>
      <c r="AU8" s="6">
        <f>AQ8*1.2</f>
        <v>1268.8634400000001</v>
      </c>
      <c r="AV8" s="6">
        <v>796.08</v>
      </c>
      <c r="AW8" s="6">
        <v>4776.46</v>
      </c>
      <c r="AX8" t="s">
        <v>114</v>
      </c>
      <c r="AY8" t="s">
        <v>407</v>
      </c>
      <c r="AZ8" s="3">
        <v>843141000000</v>
      </c>
      <c r="BA8" t="s">
        <v>169</v>
      </c>
      <c r="BB8" t="s">
        <v>216</v>
      </c>
      <c r="BC8" t="s">
        <v>112</v>
      </c>
      <c r="BD8">
        <v>6</v>
      </c>
      <c r="BE8">
        <v>164</v>
      </c>
      <c r="BF8">
        <v>169</v>
      </c>
      <c r="BG8" t="s">
        <v>113</v>
      </c>
      <c r="BH8" s="6">
        <v>1133.3900000000001</v>
      </c>
      <c r="BI8" s="6">
        <f>BH8*1.08</f>
        <v>1224.0612000000001</v>
      </c>
      <c r="BJ8" s="6">
        <f t="shared" si="4"/>
        <v>113.33900000000001</v>
      </c>
      <c r="BK8" s="6">
        <f t="shared" si="5"/>
        <v>34.0017</v>
      </c>
      <c r="BL8" s="6">
        <f t="shared" si="6"/>
        <v>1280.7307000000001</v>
      </c>
      <c r="BM8" s="6">
        <v>501</v>
      </c>
      <c r="BN8" s="6">
        <f>BL8*1.02</f>
        <v>1306.3453140000001</v>
      </c>
      <c r="BO8" s="6">
        <v>0</v>
      </c>
      <c r="BP8" s="6">
        <f>BN8*1.2</f>
        <v>1567.6143768000002</v>
      </c>
      <c r="BQ8" s="6">
        <f t="shared" si="7"/>
        <v>286.8836768000001</v>
      </c>
      <c r="BR8" s="6">
        <f t="shared" si="8"/>
        <v>1567.6143768000002</v>
      </c>
      <c r="BS8" t="s">
        <v>114</v>
      </c>
      <c r="BT8" t="s">
        <v>408</v>
      </c>
      <c r="BU8" s="3">
        <v>850421000000</v>
      </c>
      <c r="BV8" t="s">
        <v>171</v>
      </c>
      <c r="BW8" t="s">
        <v>216</v>
      </c>
      <c r="BX8" t="s">
        <v>112</v>
      </c>
      <c r="BY8">
        <v>8</v>
      </c>
      <c r="BZ8">
        <v>164</v>
      </c>
      <c r="CA8">
        <v>169</v>
      </c>
      <c r="CB8" t="s">
        <v>113</v>
      </c>
      <c r="CC8" s="6">
        <v>1209.24</v>
      </c>
      <c r="CD8" s="6">
        <f>CC8*1.08</f>
        <v>1305.9792</v>
      </c>
      <c r="CE8" s="6">
        <f t="shared" si="9"/>
        <v>120.92400000000001</v>
      </c>
      <c r="CF8" s="6">
        <f t="shared" si="10"/>
        <v>36.277200000000001</v>
      </c>
      <c r="CG8" s="6">
        <f t="shared" si="11"/>
        <v>1366.4412</v>
      </c>
      <c r="CH8" s="6">
        <v>501</v>
      </c>
      <c r="CI8" s="6">
        <f>CG8*1.02</f>
        <v>1393.7700239999999</v>
      </c>
      <c r="CJ8" s="6">
        <v>0</v>
      </c>
      <c r="CK8" s="6">
        <f>CI8*1.2</f>
        <v>1672.5240287999998</v>
      </c>
      <c r="CL8" s="6">
        <f t="shared" si="12"/>
        <v>306.08282879999979</v>
      </c>
      <c r="CM8" s="6">
        <f t="shared" si="13"/>
        <v>1672.5240287999998</v>
      </c>
      <c r="CN8" t="s">
        <v>114</v>
      </c>
      <c r="CO8" t="s">
        <v>409</v>
      </c>
      <c r="CP8">
        <f t="shared" ca="1" si="14"/>
        <v>0.62583464989212867</v>
      </c>
    </row>
    <row r="9" spans="1:97" x14ac:dyDescent="0.35">
      <c r="A9">
        <v>1222603010</v>
      </c>
      <c r="B9" t="s">
        <v>201</v>
      </c>
      <c r="C9" t="s">
        <v>136</v>
      </c>
      <c r="D9" t="s">
        <v>93</v>
      </c>
      <c r="E9">
        <v>4000</v>
      </c>
      <c r="F9" t="s">
        <v>94</v>
      </c>
      <c r="G9" t="s">
        <v>95</v>
      </c>
      <c r="H9" t="s">
        <v>96</v>
      </c>
      <c r="I9" t="s">
        <v>137</v>
      </c>
      <c r="J9" t="s">
        <v>98</v>
      </c>
      <c r="K9" s="6">
        <f t="shared" si="0"/>
        <v>1807.0734</v>
      </c>
      <c r="L9" t="s">
        <v>99</v>
      </c>
      <c r="M9" t="s">
        <v>100</v>
      </c>
      <c r="N9" t="s">
        <v>138</v>
      </c>
      <c r="O9" t="s">
        <v>96</v>
      </c>
      <c r="P9" t="s">
        <v>96</v>
      </c>
      <c r="Q9" t="s">
        <v>139</v>
      </c>
      <c r="R9" t="s">
        <v>140</v>
      </c>
      <c r="S9" t="s">
        <v>104</v>
      </c>
      <c r="T9">
        <v>0</v>
      </c>
      <c r="U9">
        <v>30</v>
      </c>
      <c r="V9">
        <v>30</v>
      </c>
      <c r="W9" t="s">
        <v>105</v>
      </c>
      <c r="X9" t="s">
        <v>106</v>
      </c>
      <c r="Y9" t="s">
        <v>107</v>
      </c>
      <c r="Z9" t="s">
        <v>108</v>
      </c>
      <c r="AA9">
        <v>312</v>
      </c>
      <c r="AB9">
        <v>327</v>
      </c>
      <c r="AC9" t="s">
        <v>109</v>
      </c>
      <c r="AD9" t="s">
        <v>128</v>
      </c>
      <c r="AE9" s="3">
        <v>610910000000</v>
      </c>
      <c r="AF9" t="s">
        <v>141</v>
      </c>
      <c r="AG9" t="s">
        <v>140</v>
      </c>
      <c r="AH9" t="s">
        <v>142</v>
      </c>
      <c r="AI9">
        <v>13</v>
      </c>
      <c r="AJ9">
        <v>104</v>
      </c>
      <c r="AK9">
        <v>109</v>
      </c>
      <c r="AL9" t="s">
        <v>113</v>
      </c>
      <c r="AM9" s="6">
        <v>385.04</v>
      </c>
      <c r="AN9" s="6">
        <f>AM9*1.08</f>
        <v>415.84320000000002</v>
      </c>
      <c r="AO9" s="6">
        <f t="shared" si="1"/>
        <v>38.504000000000005</v>
      </c>
      <c r="AP9" s="6">
        <f t="shared" si="2"/>
        <v>11.5512</v>
      </c>
      <c r="AQ9" s="6">
        <f t="shared" si="3"/>
        <v>435.09520000000003</v>
      </c>
      <c r="AR9">
        <v>501</v>
      </c>
      <c r="AS9" s="6">
        <v>0</v>
      </c>
      <c r="AT9" s="6">
        <v>0</v>
      </c>
      <c r="AU9" s="6">
        <f>AQ9*1.2</f>
        <v>522.11424</v>
      </c>
      <c r="AV9" s="6">
        <f t="shared" ref="AV9:AV32" si="15">AU9-AQ9</f>
        <v>87.019039999999961</v>
      </c>
      <c r="AW9" s="6">
        <f t="shared" ref="AW9:AW32" si="16">AU9</f>
        <v>522.11424</v>
      </c>
      <c r="AX9" t="s">
        <v>114</v>
      </c>
      <c r="AY9" t="s">
        <v>143</v>
      </c>
      <c r="AZ9" s="3">
        <v>620342000000</v>
      </c>
      <c r="BA9" t="s">
        <v>144</v>
      </c>
      <c r="BB9" t="s">
        <v>140</v>
      </c>
      <c r="BC9" t="s">
        <v>142</v>
      </c>
      <c r="BD9">
        <v>9</v>
      </c>
      <c r="BE9">
        <v>104</v>
      </c>
      <c r="BF9">
        <v>109</v>
      </c>
      <c r="BG9" t="s">
        <v>113</v>
      </c>
      <c r="BH9" s="6">
        <v>569.67999999999995</v>
      </c>
      <c r="BI9" s="6">
        <f>BH9*1.08</f>
        <v>615.25440000000003</v>
      </c>
      <c r="BJ9" s="6">
        <f t="shared" si="4"/>
        <v>56.967999999999996</v>
      </c>
      <c r="BK9" s="6">
        <f t="shared" si="5"/>
        <v>17.090399999999999</v>
      </c>
      <c r="BL9" s="6">
        <f t="shared" si="6"/>
        <v>643.73839999999996</v>
      </c>
      <c r="BM9" s="6">
        <v>501</v>
      </c>
      <c r="BN9" s="6">
        <v>0</v>
      </c>
      <c r="BO9" s="6">
        <v>0</v>
      </c>
      <c r="BP9" s="6">
        <f>BL9*1.2</f>
        <v>772.4860799999999</v>
      </c>
      <c r="BQ9" s="6">
        <f t="shared" si="7"/>
        <v>128.74767999999995</v>
      </c>
      <c r="BR9" s="6">
        <f t="shared" si="8"/>
        <v>772.4860799999999</v>
      </c>
      <c r="BS9" t="s">
        <v>114</v>
      </c>
      <c r="BT9" t="s">
        <v>145</v>
      </c>
      <c r="BU9" s="3">
        <v>520512000000</v>
      </c>
      <c r="BV9" t="s">
        <v>146</v>
      </c>
      <c r="BW9" t="s">
        <v>140</v>
      </c>
      <c r="BX9" t="s">
        <v>142</v>
      </c>
      <c r="BY9">
        <v>5</v>
      </c>
      <c r="BZ9">
        <v>104</v>
      </c>
      <c r="CA9">
        <v>109</v>
      </c>
      <c r="CB9" t="s">
        <v>113</v>
      </c>
      <c r="CC9" s="6">
        <v>377.93</v>
      </c>
      <c r="CD9" s="6">
        <f>CC9*1.08</f>
        <v>408.16440000000006</v>
      </c>
      <c r="CE9" s="6">
        <f t="shared" si="9"/>
        <v>37.792999999999999</v>
      </c>
      <c r="CF9" s="6">
        <f t="shared" si="10"/>
        <v>11.337899999999999</v>
      </c>
      <c r="CG9" s="6">
        <f t="shared" si="11"/>
        <v>427.0609</v>
      </c>
      <c r="CH9" s="6">
        <v>501</v>
      </c>
      <c r="CI9" s="6">
        <v>0</v>
      </c>
      <c r="CJ9" s="6">
        <v>0</v>
      </c>
      <c r="CK9" s="6">
        <f>CG9*1.2</f>
        <v>512.47307999999998</v>
      </c>
      <c r="CL9" s="6">
        <f t="shared" si="12"/>
        <v>85.412179999999978</v>
      </c>
      <c r="CM9" s="6">
        <f t="shared" si="13"/>
        <v>512.47307999999998</v>
      </c>
      <c r="CN9" t="s">
        <v>114</v>
      </c>
      <c r="CO9" t="s">
        <v>147</v>
      </c>
      <c r="CP9">
        <f t="shared" ca="1" si="14"/>
        <v>0.29971412980709966</v>
      </c>
    </row>
    <row r="10" spans="1:97" x14ac:dyDescent="0.35">
      <c r="A10">
        <v>1222603011</v>
      </c>
      <c r="B10" t="s">
        <v>211</v>
      </c>
      <c r="C10" t="s">
        <v>339</v>
      </c>
      <c r="D10" t="s">
        <v>93</v>
      </c>
      <c r="E10">
        <v>4000</v>
      </c>
      <c r="F10" t="s">
        <v>94</v>
      </c>
      <c r="G10" t="s">
        <v>95</v>
      </c>
      <c r="H10" t="s">
        <v>96</v>
      </c>
      <c r="I10" t="s">
        <v>340</v>
      </c>
      <c r="J10" t="s">
        <v>176</v>
      </c>
      <c r="K10" s="6">
        <f t="shared" si="0"/>
        <v>3858.9932789999998</v>
      </c>
      <c r="L10" t="s">
        <v>99</v>
      </c>
      <c r="M10" t="s">
        <v>100</v>
      </c>
      <c r="N10" t="s">
        <v>341</v>
      </c>
      <c r="O10" t="s">
        <v>96</v>
      </c>
      <c r="P10" t="s">
        <v>96</v>
      </c>
      <c r="Q10" t="s">
        <v>342</v>
      </c>
      <c r="R10" t="s">
        <v>343</v>
      </c>
      <c r="S10" t="s">
        <v>104</v>
      </c>
      <c r="T10">
        <v>0</v>
      </c>
      <c r="U10">
        <v>30</v>
      </c>
      <c r="V10">
        <v>30</v>
      </c>
      <c r="W10" t="s">
        <v>105</v>
      </c>
      <c r="X10" t="s">
        <v>106</v>
      </c>
      <c r="Y10" t="s">
        <v>107</v>
      </c>
      <c r="Z10" t="s">
        <v>108</v>
      </c>
      <c r="AA10">
        <v>432</v>
      </c>
      <c r="AB10">
        <v>447</v>
      </c>
      <c r="AC10" t="s">
        <v>109</v>
      </c>
      <c r="AD10" t="s">
        <v>344</v>
      </c>
      <c r="AE10" s="3">
        <v>292241000000</v>
      </c>
      <c r="AF10" t="s">
        <v>129</v>
      </c>
      <c r="AG10" t="s">
        <v>343</v>
      </c>
      <c r="AH10" t="s">
        <v>112</v>
      </c>
      <c r="AI10">
        <v>5</v>
      </c>
      <c r="AJ10">
        <v>144</v>
      </c>
      <c r="AK10">
        <v>149</v>
      </c>
      <c r="AL10" t="s">
        <v>113</v>
      </c>
      <c r="AM10" s="6">
        <v>889.01</v>
      </c>
      <c r="AN10" s="6">
        <v>2732.05</v>
      </c>
      <c r="AO10" s="6">
        <f t="shared" si="1"/>
        <v>88.90100000000001</v>
      </c>
      <c r="AP10" s="6">
        <f t="shared" si="2"/>
        <v>26.670299999999997</v>
      </c>
      <c r="AQ10" s="6">
        <f t="shared" si="3"/>
        <v>1004.5813000000001</v>
      </c>
      <c r="AR10">
        <v>501</v>
      </c>
      <c r="AS10" s="6">
        <f>AQ10*1.05</f>
        <v>1054.810365</v>
      </c>
      <c r="AT10" s="6">
        <v>0</v>
      </c>
      <c r="AU10" s="6">
        <f>AS10*1.2</f>
        <v>1265.772438</v>
      </c>
      <c r="AV10" s="6">
        <f t="shared" si="15"/>
        <v>261.19113799999991</v>
      </c>
      <c r="AW10" s="6">
        <f t="shared" si="16"/>
        <v>1265.772438</v>
      </c>
      <c r="AX10" t="s">
        <v>118</v>
      </c>
      <c r="AY10" t="s">
        <v>345</v>
      </c>
      <c r="AZ10" s="3">
        <v>390110900000</v>
      </c>
      <c r="BA10" t="s">
        <v>131</v>
      </c>
      <c r="BB10" t="s">
        <v>343</v>
      </c>
      <c r="BC10" t="s">
        <v>117</v>
      </c>
      <c r="BD10">
        <v>17</v>
      </c>
      <c r="BE10">
        <v>144</v>
      </c>
      <c r="BF10">
        <v>149</v>
      </c>
      <c r="BG10" t="s">
        <v>113</v>
      </c>
      <c r="BH10" s="6">
        <v>1067.1500000000001</v>
      </c>
      <c r="BI10" s="6">
        <v>2732.05</v>
      </c>
      <c r="BJ10" s="6">
        <f t="shared" si="4"/>
        <v>106.71500000000002</v>
      </c>
      <c r="BK10" s="6">
        <f t="shared" si="5"/>
        <v>32.014499999999998</v>
      </c>
      <c r="BL10" s="6">
        <f t="shared" si="6"/>
        <v>1205.8795</v>
      </c>
      <c r="BM10" s="6">
        <v>501</v>
      </c>
      <c r="BN10" s="6">
        <f>BL10*1.065</f>
        <v>1284.2616674999999</v>
      </c>
      <c r="BO10" s="6">
        <v>0</v>
      </c>
      <c r="BP10" s="6">
        <f>BN10*1.2</f>
        <v>1541.1140009999999</v>
      </c>
      <c r="BQ10" s="6">
        <f t="shared" si="7"/>
        <v>335.23450099999991</v>
      </c>
      <c r="BR10" s="6">
        <f t="shared" si="8"/>
        <v>1541.1140009999999</v>
      </c>
      <c r="BS10" t="s">
        <v>118</v>
      </c>
      <c r="BT10" t="s">
        <v>346</v>
      </c>
      <c r="BU10" s="3">
        <v>310210100000</v>
      </c>
      <c r="BV10" t="s">
        <v>133</v>
      </c>
      <c r="BW10" t="s">
        <v>343</v>
      </c>
      <c r="BX10" t="s">
        <v>117</v>
      </c>
      <c r="BY10">
        <v>11</v>
      </c>
      <c r="BZ10">
        <v>144</v>
      </c>
      <c r="CA10">
        <v>149</v>
      </c>
      <c r="CB10" t="s">
        <v>113</v>
      </c>
      <c r="CC10" s="6">
        <v>775.89</v>
      </c>
      <c r="CD10" s="6">
        <v>2732.05</v>
      </c>
      <c r="CE10" s="6">
        <f t="shared" si="9"/>
        <v>77.588999999999999</v>
      </c>
      <c r="CF10" s="6">
        <f t="shared" si="10"/>
        <v>23.276699999999998</v>
      </c>
      <c r="CG10" s="6">
        <f t="shared" si="11"/>
        <v>876.75570000000005</v>
      </c>
      <c r="CH10" s="6">
        <v>501</v>
      </c>
      <c r="CI10" s="6">
        <v>0</v>
      </c>
      <c r="CJ10" s="6">
        <v>0</v>
      </c>
      <c r="CK10" s="6">
        <f>CG10*1.2</f>
        <v>1052.1068399999999</v>
      </c>
      <c r="CL10" s="6">
        <f t="shared" si="12"/>
        <v>175.35113999999987</v>
      </c>
      <c r="CM10" s="6">
        <f t="shared" si="13"/>
        <v>1052.1068399999999</v>
      </c>
      <c r="CN10" t="s">
        <v>118</v>
      </c>
      <c r="CO10" t="s">
        <v>347</v>
      </c>
      <c r="CP10">
        <f t="shared" ca="1" si="14"/>
        <v>0.31900757430696913</v>
      </c>
    </row>
    <row r="11" spans="1:97" x14ac:dyDescent="0.35">
      <c r="A11">
        <v>1222603013</v>
      </c>
      <c r="B11" t="s">
        <v>220</v>
      </c>
      <c r="C11" t="s">
        <v>411</v>
      </c>
      <c r="D11" t="s">
        <v>93</v>
      </c>
      <c r="E11">
        <v>4000</v>
      </c>
      <c r="F11" t="s">
        <v>94</v>
      </c>
      <c r="G11" t="s">
        <v>95</v>
      </c>
      <c r="H11" t="s">
        <v>96</v>
      </c>
      <c r="I11" t="s">
        <v>222</v>
      </c>
      <c r="J11" t="s">
        <v>98</v>
      </c>
      <c r="K11" s="6">
        <f t="shared" si="0"/>
        <v>4039.4019600000001</v>
      </c>
      <c r="L11" t="s">
        <v>99</v>
      </c>
      <c r="M11" t="s">
        <v>100</v>
      </c>
      <c r="N11" t="s">
        <v>223</v>
      </c>
      <c r="O11" t="s">
        <v>96</v>
      </c>
      <c r="P11" t="s">
        <v>96</v>
      </c>
      <c r="Q11" t="s">
        <v>412</v>
      </c>
      <c r="R11" t="s">
        <v>225</v>
      </c>
      <c r="S11" t="s">
        <v>104</v>
      </c>
      <c r="T11">
        <v>0</v>
      </c>
      <c r="U11">
        <v>30</v>
      </c>
      <c r="V11">
        <v>30</v>
      </c>
      <c r="W11" t="s">
        <v>105</v>
      </c>
      <c r="X11" t="s">
        <v>106</v>
      </c>
      <c r="Y11" t="s">
        <v>107</v>
      </c>
      <c r="Z11" t="s">
        <v>108</v>
      </c>
      <c r="AA11">
        <v>498</v>
      </c>
      <c r="AB11">
        <v>513</v>
      </c>
      <c r="AC11" t="s">
        <v>109</v>
      </c>
      <c r="AD11" t="s">
        <v>193</v>
      </c>
      <c r="AE11" s="3">
        <v>940360100000</v>
      </c>
      <c r="AF11" t="s">
        <v>181</v>
      </c>
      <c r="AG11" t="s">
        <v>225</v>
      </c>
      <c r="AH11" t="s">
        <v>182</v>
      </c>
      <c r="AI11">
        <v>8</v>
      </c>
      <c r="AJ11">
        <v>166</v>
      </c>
      <c r="AK11">
        <v>171</v>
      </c>
      <c r="AL11" t="s">
        <v>113</v>
      </c>
      <c r="AM11" s="6">
        <v>937.53</v>
      </c>
      <c r="AN11" s="6">
        <f>AM11*1.08</f>
        <v>1012.5324000000001</v>
      </c>
      <c r="AO11" s="6">
        <f t="shared" si="1"/>
        <v>93.753</v>
      </c>
      <c r="AP11" s="6">
        <f t="shared" si="2"/>
        <v>28.125899999999998</v>
      </c>
      <c r="AQ11" s="6">
        <f t="shared" si="3"/>
        <v>1059.4088999999999</v>
      </c>
      <c r="AR11">
        <v>501</v>
      </c>
      <c r="AS11" s="6">
        <v>0</v>
      </c>
      <c r="AT11" s="6">
        <v>0</v>
      </c>
      <c r="AU11" s="6">
        <f>AQ11*1.2</f>
        <v>1271.2906799999998</v>
      </c>
      <c r="AV11" s="6">
        <f t="shared" si="15"/>
        <v>211.88177999999994</v>
      </c>
      <c r="AW11" s="6">
        <f t="shared" si="16"/>
        <v>1271.2906799999998</v>
      </c>
      <c r="AX11" t="s">
        <v>114</v>
      </c>
      <c r="AY11" t="s">
        <v>413</v>
      </c>
      <c r="AZ11" s="3">
        <v>440711100000</v>
      </c>
      <c r="BA11" t="s">
        <v>184</v>
      </c>
      <c r="BB11" t="s">
        <v>225</v>
      </c>
      <c r="BC11" t="s">
        <v>103</v>
      </c>
      <c r="BD11">
        <v>5</v>
      </c>
      <c r="BE11">
        <v>166</v>
      </c>
      <c r="BF11">
        <v>171</v>
      </c>
      <c r="BG11" t="s">
        <v>113</v>
      </c>
      <c r="BH11" s="6">
        <v>996.25</v>
      </c>
      <c r="BI11" s="6">
        <f>BH11*1.08</f>
        <v>1075.95</v>
      </c>
      <c r="BJ11" s="6">
        <f t="shared" si="4"/>
        <v>99.625</v>
      </c>
      <c r="BK11" s="6">
        <f t="shared" si="5"/>
        <v>29.887499999999999</v>
      </c>
      <c r="BL11" s="6">
        <f t="shared" si="6"/>
        <v>1125.7625</v>
      </c>
      <c r="BM11" s="6">
        <v>501</v>
      </c>
      <c r="BN11" s="6">
        <v>0</v>
      </c>
      <c r="BO11" s="6">
        <v>0</v>
      </c>
      <c r="BP11" s="6">
        <f>BL11*1.2</f>
        <v>1350.915</v>
      </c>
      <c r="BQ11" s="6">
        <f t="shared" si="7"/>
        <v>225.15249999999992</v>
      </c>
      <c r="BR11" s="6">
        <f t="shared" si="8"/>
        <v>1350.915</v>
      </c>
      <c r="BS11" t="s">
        <v>114</v>
      </c>
      <c r="BT11" t="s">
        <v>414</v>
      </c>
      <c r="BU11" s="3">
        <v>690721000000</v>
      </c>
      <c r="BV11" t="s">
        <v>186</v>
      </c>
      <c r="BW11" t="s">
        <v>225</v>
      </c>
      <c r="BX11" t="s">
        <v>112</v>
      </c>
      <c r="BY11">
        <v>11</v>
      </c>
      <c r="BZ11">
        <v>166</v>
      </c>
      <c r="CA11">
        <v>171</v>
      </c>
      <c r="CB11" t="s">
        <v>113</v>
      </c>
      <c r="CC11" s="6">
        <v>1045.1300000000001</v>
      </c>
      <c r="CD11" s="6">
        <f>CC11*1.08</f>
        <v>1128.7404000000001</v>
      </c>
      <c r="CE11" s="6">
        <f t="shared" si="9"/>
        <v>104.51300000000002</v>
      </c>
      <c r="CF11" s="6">
        <f t="shared" si="10"/>
        <v>31.353900000000003</v>
      </c>
      <c r="CG11" s="6">
        <f t="shared" si="11"/>
        <v>1180.9969000000001</v>
      </c>
      <c r="CH11" s="6">
        <v>501</v>
      </c>
      <c r="CI11" s="6">
        <v>0</v>
      </c>
      <c r="CJ11" s="6">
        <v>0</v>
      </c>
      <c r="CK11" s="6">
        <f>CG11*1.2</f>
        <v>1417.1962800000001</v>
      </c>
      <c r="CL11" s="6">
        <f t="shared" si="12"/>
        <v>236.19938000000002</v>
      </c>
      <c r="CM11" s="6">
        <f t="shared" si="13"/>
        <v>1417.1962800000001</v>
      </c>
      <c r="CN11" t="s">
        <v>114</v>
      </c>
      <c r="CO11" t="s">
        <v>415</v>
      </c>
      <c r="CP11">
        <f t="shared" ca="1" si="14"/>
        <v>0.111478040888633</v>
      </c>
    </row>
    <row r="12" spans="1:97" x14ac:dyDescent="0.35">
      <c r="A12">
        <v>1222603014</v>
      </c>
      <c r="B12" t="s">
        <v>229</v>
      </c>
      <c r="C12" t="s">
        <v>293</v>
      </c>
      <c r="D12" t="s">
        <v>93</v>
      </c>
      <c r="E12">
        <v>4000</v>
      </c>
      <c r="F12" t="s">
        <v>94</v>
      </c>
      <c r="G12" t="s">
        <v>95</v>
      </c>
      <c r="H12" t="s">
        <v>96</v>
      </c>
      <c r="I12" t="s">
        <v>294</v>
      </c>
      <c r="J12" t="s">
        <v>176</v>
      </c>
      <c r="K12" s="6">
        <f t="shared" si="0"/>
        <v>6191.1888659999995</v>
      </c>
      <c r="L12" t="s">
        <v>99</v>
      </c>
      <c r="M12" t="s">
        <v>100</v>
      </c>
      <c r="N12" t="s">
        <v>295</v>
      </c>
      <c r="O12" t="s">
        <v>96</v>
      </c>
      <c r="P12" t="s">
        <v>96</v>
      </c>
      <c r="Q12" t="s">
        <v>296</v>
      </c>
      <c r="R12" t="s">
        <v>297</v>
      </c>
      <c r="S12" t="s">
        <v>104</v>
      </c>
      <c r="T12">
        <v>0</v>
      </c>
      <c r="U12">
        <v>30</v>
      </c>
      <c r="V12">
        <v>30</v>
      </c>
      <c r="W12" t="s">
        <v>105</v>
      </c>
      <c r="X12" t="s">
        <v>106</v>
      </c>
      <c r="Y12" t="s">
        <v>107</v>
      </c>
      <c r="Z12" t="s">
        <v>108</v>
      </c>
      <c r="AA12">
        <v>402</v>
      </c>
      <c r="AB12">
        <v>417</v>
      </c>
      <c r="AC12" t="s">
        <v>109</v>
      </c>
      <c r="AD12" t="s">
        <v>298</v>
      </c>
      <c r="AE12" s="3">
        <v>847130000000</v>
      </c>
      <c r="AF12" t="s">
        <v>154</v>
      </c>
      <c r="AG12" t="s">
        <v>297</v>
      </c>
      <c r="AH12" t="s">
        <v>112</v>
      </c>
      <c r="AI12">
        <v>18</v>
      </c>
      <c r="AJ12">
        <v>134</v>
      </c>
      <c r="AK12">
        <v>139</v>
      </c>
      <c r="AL12" t="s">
        <v>113</v>
      </c>
      <c r="AM12" s="6">
        <v>1816.86</v>
      </c>
      <c r="AN12" s="6">
        <v>4003.37</v>
      </c>
      <c r="AO12" s="6">
        <f t="shared" si="1"/>
        <v>181.68600000000001</v>
      </c>
      <c r="AP12" s="6">
        <f t="shared" si="2"/>
        <v>54.505799999999994</v>
      </c>
      <c r="AQ12" s="6">
        <f t="shared" si="3"/>
        <v>2053.0517999999997</v>
      </c>
      <c r="AR12">
        <v>501</v>
      </c>
      <c r="AS12" s="6">
        <v>0</v>
      </c>
      <c r="AT12" s="6">
        <v>0</v>
      </c>
      <c r="AU12" s="6">
        <f>AQ12*1.2</f>
        <v>2463.6621599999994</v>
      </c>
      <c r="AV12" s="6">
        <f t="shared" si="15"/>
        <v>410.61035999999967</v>
      </c>
      <c r="AW12" s="6">
        <f t="shared" si="16"/>
        <v>2463.6621599999994</v>
      </c>
      <c r="AX12" t="s">
        <v>118</v>
      </c>
      <c r="AY12" t="s">
        <v>299</v>
      </c>
      <c r="AZ12" s="3">
        <v>851713000000</v>
      </c>
      <c r="BA12" t="s">
        <v>156</v>
      </c>
      <c r="BB12" t="s">
        <v>297</v>
      </c>
      <c r="BC12" t="s">
        <v>112</v>
      </c>
      <c r="BD12">
        <v>15</v>
      </c>
      <c r="BE12">
        <v>134</v>
      </c>
      <c r="BF12">
        <v>139</v>
      </c>
      <c r="BG12" t="s">
        <v>113</v>
      </c>
      <c r="BH12" s="6">
        <v>1006.84</v>
      </c>
      <c r="BI12" s="6">
        <v>4003.37</v>
      </c>
      <c r="BJ12" s="6">
        <f t="shared" si="4"/>
        <v>100.68400000000001</v>
      </c>
      <c r="BK12" s="6">
        <f t="shared" si="5"/>
        <v>30.205200000000001</v>
      </c>
      <c r="BL12" s="6">
        <f t="shared" si="6"/>
        <v>1137.7292000000002</v>
      </c>
      <c r="BM12" s="6">
        <v>602</v>
      </c>
      <c r="BN12" s="6">
        <v>0</v>
      </c>
      <c r="BO12" s="6">
        <f>BL12*1.5</f>
        <v>1706.5938000000003</v>
      </c>
      <c r="BP12" s="6">
        <f>BO12*1.2</f>
        <v>2047.9125600000002</v>
      </c>
      <c r="BQ12" s="6">
        <f t="shared" si="7"/>
        <v>910.18335999999999</v>
      </c>
      <c r="BR12" s="6">
        <f t="shared" si="8"/>
        <v>2047.9125600000002</v>
      </c>
      <c r="BS12" t="s">
        <v>118</v>
      </c>
      <c r="BT12" t="s">
        <v>300</v>
      </c>
      <c r="BU12" s="3">
        <v>701349100000</v>
      </c>
      <c r="BV12" t="s">
        <v>158</v>
      </c>
      <c r="BW12" t="s">
        <v>297</v>
      </c>
      <c r="BX12" t="s">
        <v>112</v>
      </c>
      <c r="BY12">
        <v>18</v>
      </c>
      <c r="BZ12">
        <v>134</v>
      </c>
      <c r="CA12">
        <v>139</v>
      </c>
      <c r="CB12" t="s">
        <v>113</v>
      </c>
      <c r="CC12" s="6">
        <v>1179.67</v>
      </c>
      <c r="CD12" s="6">
        <v>4003.37</v>
      </c>
      <c r="CE12" s="6">
        <f t="shared" si="9"/>
        <v>117.96700000000001</v>
      </c>
      <c r="CF12" s="6">
        <f t="shared" si="10"/>
        <v>35.390100000000004</v>
      </c>
      <c r="CG12" s="6">
        <f t="shared" si="11"/>
        <v>1333.0271000000002</v>
      </c>
      <c r="CH12" s="6">
        <v>501</v>
      </c>
      <c r="CI12" s="6">
        <f>CG12*1.05</f>
        <v>1399.6784550000002</v>
      </c>
      <c r="CJ12" s="6">
        <v>0</v>
      </c>
      <c r="CK12" s="6">
        <f>CI12*1.2</f>
        <v>1679.6141460000001</v>
      </c>
      <c r="CL12" s="6">
        <f t="shared" si="12"/>
        <v>346.58704599999987</v>
      </c>
      <c r="CM12" s="6">
        <f t="shared" si="13"/>
        <v>1679.6141460000001</v>
      </c>
      <c r="CN12" t="s">
        <v>118</v>
      </c>
      <c r="CO12" t="s">
        <v>301</v>
      </c>
      <c r="CP12">
        <f t="shared" ca="1" si="14"/>
        <v>0.23165844663321689</v>
      </c>
    </row>
    <row r="13" spans="1:97" x14ac:dyDescent="0.35">
      <c r="A13">
        <v>1222603015</v>
      </c>
      <c r="B13" t="s">
        <v>238</v>
      </c>
      <c r="C13" t="s">
        <v>387</v>
      </c>
      <c r="D13" t="s">
        <v>93</v>
      </c>
      <c r="E13">
        <v>4000</v>
      </c>
      <c r="F13" t="s">
        <v>94</v>
      </c>
      <c r="G13" t="s">
        <v>95</v>
      </c>
      <c r="H13" t="s">
        <v>96</v>
      </c>
      <c r="I13" t="s">
        <v>175</v>
      </c>
      <c r="J13" t="s">
        <v>176</v>
      </c>
      <c r="K13" s="6">
        <f t="shared" si="0"/>
        <v>4077.9230046000002</v>
      </c>
      <c r="L13" t="s">
        <v>99</v>
      </c>
      <c r="M13" t="s">
        <v>100</v>
      </c>
      <c r="N13" t="s">
        <v>177</v>
      </c>
      <c r="O13" t="s">
        <v>96</v>
      </c>
      <c r="P13" t="s">
        <v>96</v>
      </c>
      <c r="Q13" t="s">
        <v>388</v>
      </c>
      <c r="R13" t="s">
        <v>179</v>
      </c>
      <c r="S13" t="s">
        <v>104</v>
      </c>
      <c r="T13">
        <v>0</v>
      </c>
      <c r="U13">
        <v>30</v>
      </c>
      <c r="V13">
        <v>30</v>
      </c>
      <c r="W13" t="s">
        <v>105</v>
      </c>
      <c r="X13" t="s">
        <v>106</v>
      </c>
      <c r="Y13" t="s">
        <v>107</v>
      </c>
      <c r="Z13" t="s">
        <v>108</v>
      </c>
      <c r="AA13">
        <v>474</v>
      </c>
      <c r="AB13">
        <v>489</v>
      </c>
      <c r="AC13" t="s">
        <v>109</v>
      </c>
      <c r="AD13" t="s">
        <v>207</v>
      </c>
      <c r="AE13" s="3">
        <v>292241000000</v>
      </c>
      <c r="AF13" t="s">
        <v>129</v>
      </c>
      <c r="AG13" t="s">
        <v>179</v>
      </c>
      <c r="AH13" t="s">
        <v>112</v>
      </c>
      <c r="AI13">
        <v>5</v>
      </c>
      <c r="AJ13">
        <v>158</v>
      </c>
      <c r="AK13">
        <v>163</v>
      </c>
      <c r="AL13" t="s">
        <v>113</v>
      </c>
      <c r="AM13" s="6">
        <v>1050.95</v>
      </c>
      <c r="AN13" s="6">
        <v>2932.51</v>
      </c>
      <c r="AO13" s="6">
        <f t="shared" si="1"/>
        <v>105.09500000000001</v>
      </c>
      <c r="AP13" s="6">
        <f t="shared" si="2"/>
        <v>31.528500000000001</v>
      </c>
      <c r="AQ13" s="6">
        <f t="shared" si="3"/>
        <v>1187.5735</v>
      </c>
      <c r="AR13">
        <v>501</v>
      </c>
      <c r="AS13" s="6">
        <v>0</v>
      </c>
      <c r="AT13" s="6">
        <v>0</v>
      </c>
      <c r="AU13" s="6">
        <f>AQ13*1.2</f>
        <v>1425.0881999999999</v>
      </c>
      <c r="AV13" s="6">
        <f t="shared" si="15"/>
        <v>237.51469999999995</v>
      </c>
      <c r="AW13" s="6">
        <f t="shared" si="16"/>
        <v>1425.0881999999999</v>
      </c>
      <c r="AX13" t="s">
        <v>114</v>
      </c>
      <c r="AY13" t="s">
        <v>389</v>
      </c>
      <c r="AZ13" s="3">
        <v>390110900000</v>
      </c>
      <c r="BA13" t="s">
        <v>131</v>
      </c>
      <c r="BB13" t="s">
        <v>179</v>
      </c>
      <c r="BC13" t="s">
        <v>117</v>
      </c>
      <c r="BD13">
        <v>9</v>
      </c>
      <c r="BE13">
        <v>158</v>
      </c>
      <c r="BF13">
        <v>163</v>
      </c>
      <c r="BG13" t="s">
        <v>113</v>
      </c>
      <c r="BH13" s="6">
        <v>1150.8900000000001</v>
      </c>
      <c r="BI13" s="6">
        <v>2932.51</v>
      </c>
      <c r="BJ13" s="6">
        <f t="shared" si="4"/>
        <v>115.08900000000001</v>
      </c>
      <c r="BK13" s="6">
        <f t="shared" si="5"/>
        <v>34.526700000000005</v>
      </c>
      <c r="BL13" s="6">
        <f t="shared" si="6"/>
        <v>1300.5057000000002</v>
      </c>
      <c r="BM13" s="6">
        <v>501</v>
      </c>
      <c r="BN13" s="6">
        <f>BL13*1.065</f>
        <v>1385.0385705000001</v>
      </c>
      <c r="BO13" s="6">
        <v>0</v>
      </c>
      <c r="BP13" s="6">
        <f>BN13*1.2</f>
        <v>1662.0462846</v>
      </c>
      <c r="BQ13" s="6">
        <f t="shared" si="7"/>
        <v>361.54058459999987</v>
      </c>
      <c r="BR13" s="6">
        <f t="shared" si="8"/>
        <v>1662.0462846</v>
      </c>
      <c r="BS13" t="s">
        <v>114</v>
      </c>
      <c r="BT13" t="s">
        <v>390</v>
      </c>
      <c r="BU13" s="3">
        <v>310210100000</v>
      </c>
      <c r="BV13" t="s">
        <v>133</v>
      </c>
      <c r="BW13" t="s">
        <v>179</v>
      </c>
      <c r="BX13" t="s">
        <v>117</v>
      </c>
      <c r="BY13">
        <v>20</v>
      </c>
      <c r="BZ13">
        <v>158</v>
      </c>
      <c r="CA13">
        <v>163</v>
      </c>
      <c r="CB13" t="s">
        <v>113</v>
      </c>
      <c r="CC13" s="6">
        <v>730.67</v>
      </c>
      <c r="CD13" s="6">
        <v>2932.51</v>
      </c>
      <c r="CE13" s="6">
        <f t="shared" si="9"/>
        <v>73.066999999999993</v>
      </c>
      <c r="CF13" s="6">
        <f t="shared" si="10"/>
        <v>21.920099999999998</v>
      </c>
      <c r="CG13" s="6">
        <f t="shared" si="11"/>
        <v>825.65710000000001</v>
      </c>
      <c r="CH13" s="6">
        <v>501</v>
      </c>
      <c r="CI13" s="6">
        <v>0</v>
      </c>
      <c r="CJ13" s="6">
        <v>0</v>
      </c>
      <c r="CK13" s="6">
        <f>CG13*1.2</f>
        <v>990.78851999999995</v>
      </c>
      <c r="CL13" s="6">
        <f t="shared" si="12"/>
        <v>165.13141999999993</v>
      </c>
      <c r="CM13" s="6">
        <f t="shared" si="13"/>
        <v>990.78851999999995</v>
      </c>
      <c r="CN13" t="s">
        <v>114</v>
      </c>
      <c r="CO13" t="s">
        <v>391</v>
      </c>
      <c r="CP13">
        <f t="shared" ca="1" si="14"/>
        <v>0.16900600407776656</v>
      </c>
    </row>
    <row r="14" spans="1:97" x14ac:dyDescent="0.35">
      <c r="A14">
        <v>1222603016</v>
      </c>
      <c r="B14" t="s">
        <v>247</v>
      </c>
      <c r="C14" t="s">
        <v>521</v>
      </c>
      <c r="D14" t="s">
        <v>93</v>
      </c>
      <c r="E14">
        <v>4000</v>
      </c>
      <c r="F14" t="s">
        <v>94</v>
      </c>
      <c r="G14" t="s">
        <v>95</v>
      </c>
      <c r="H14" t="s">
        <v>96</v>
      </c>
      <c r="I14" t="s">
        <v>150</v>
      </c>
      <c r="J14" t="s">
        <v>98</v>
      </c>
      <c r="K14" s="6">
        <f t="shared" si="0"/>
        <v>1941.7784399999998</v>
      </c>
      <c r="L14" t="s">
        <v>99</v>
      </c>
      <c r="M14" t="s">
        <v>100</v>
      </c>
      <c r="N14" t="s">
        <v>151</v>
      </c>
      <c r="O14" t="s">
        <v>96</v>
      </c>
      <c r="P14" t="s">
        <v>96</v>
      </c>
      <c r="Q14" t="s">
        <v>522</v>
      </c>
      <c r="R14" t="s">
        <v>153</v>
      </c>
      <c r="S14" t="s">
        <v>104</v>
      </c>
      <c r="T14">
        <v>0</v>
      </c>
      <c r="U14">
        <v>30</v>
      </c>
      <c r="V14">
        <v>30</v>
      </c>
      <c r="W14" t="s">
        <v>105</v>
      </c>
      <c r="X14" t="s">
        <v>106</v>
      </c>
      <c r="Y14" t="s">
        <v>107</v>
      </c>
      <c r="Z14" t="s">
        <v>108</v>
      </c>
      <c r="AA14">
        <v>606</v>
      </c>
      <c r="AB14">
        <v>621</v>
      </c>
      <c r="AC14" t="s">
        <v>109</v>
      </c>
      <c r="AD14" t="s">
        <v>110</v>
      </c>
      <c r="AE14" s="3">
        <v>610910000000</v>
      </c>
      <c r="AF14" t="s">
        <v>141</v>
      </c>
      <c r="AG14" t="s">
        <v>153</v>
      </c>
      <c r="AH14" t="s">
        <v>142</v>
      </c>
      <c r="AI14">
        <v>15</v>
      </c>
      <c r="AJ14">
        <v>202</v>
      </c>
      <c r="AK14">
        <v>207</v>
      </c>
      <c r="AL14" t="s">
        <v>113</v>
      </c>
      <c r="AM14" s="6">
        <v>474.51</v>
      </c>
      <c r="AN14" s="6">
        <f>AM14*1.08</f>
        <v>512.47080000000005</v>
      </c>
      <c r="AO14" s="6">
        <f t="shared" si="1"/>
        <v>47.451000000000001</v>
      </c>
      <c r="AP14" s="6">
        <f t="shared" si="2"/>
        <v>14.235299999999999</v>
      </c>
      <c r="AQ14" s="6">
        <f t="shared" si="3"/>
        <v>536.19630000000006</v>
      </c>
      <c r="AR14">
        <v>501</v>
      </c>
      <c r="AS14" s="6">
        <v>0</v>
      </c>
      <c r="AT14" s="6">
        <v>0</v>
      </c>
      <c r="AU14" s="6">
        <f>AQ14*1.2</f>
        <v>643.43556000000001</v>
      </c>
      <c r="AV14" s="6">
        <f t="shared" si="15"/>
        <v>107.23925999999994</v>
      </c>
      <c r="AW14" s="6">
        <f t="shared" si="16"/>
        <v>643.43556000000001</v>
      </c>
      <c r="AX14" t="s">
        <v>114</v>
      </c>
      <c r="AY14" t="s">
        <v>523</v>
      </c>
      <c r="AZ14" s="3">
        <v>620342000000</v>
      </c>
      <c r="BA14" t="s">
        <v>144</v>
      </c>
      <c r="BB14" t="s">
        <v>153</v>
      </c>
      <c r="BC14" t="s">
        <v>142</v>
      </c>
      <c r="BD14">
        <v>17</v>
      </c>
      <c r="BE14">
        <v>202</v>
      </c>
      <c r="BF14">
        <v>207</v>
      </c>
      <c r="BG14" t="s">
        <v>113</v>
      </c>
      <c r="BH14" s="6">
        <v>449.46</v>
      </c>
      <c r="BI14" s="6">
        <f>BH14*1.08</f>
        <v>485.41680000000002</v>
      </c>
      <c r="BJ14" s="6">
        <f t="shared" si="4"/>
        <v>44.945999999999998</v>
      </c>
      <c r="BK14" s="6">
        <f t="shared" si="5"/>
        <v>13.483799999999999</v>
      </c>
      <c r="BL14" s="6">
        <f t="shared" si="6"/>
        <v>507.88979999999992</v>
      </c>
      <c r="BM14" s="6">
        <v>501</v>
      </c>
      <c r="BN14" s="6">
        <v>0</v>
      </c>
      <c r="BO14" s="6">
        <v>0</v>
      </c>
      <c r="BP14" s="6">
        <f>BL14*1.2</f>
        <v>609.46775999999988</v>
      </c>
      <c r="BQ14" s="6">
        <f t="shared" si="7"/>
        <v>101.57795999999996</v>
      </c>
      <c r="BR14" s="6">
        <f t="shared" si="8"/>
        <v>609.46775999999988</v>
      </c>
      <c r="BS14" t="s">
        <v>114</v>
      </c>
      <c r="BT14" t="s">
        <v>524</v>
      </c>
      <c r="BU14" s="3">
        <v>520512000000</v>
      </c>
      <c r="BV14" t="s">
        <v>146</v>
      </c>
      <c r="BW14" t="s">
        <v>153</v>
      </c>
      <c r="BX14" t="s">
        <v>142</v>
      </c>
      <c r="BY14">
        <v>7</v>
      </c>
      <c r="BZ14">
        <v>202</v>
      </c>
      <c r="CA14">
        <v>207</v>
      </c>
      <c r="CB14" t="s">
        <v>113</v>
      </c>
      <c r="CC14" s="6">
        <v>508.02</v>
      </c>
      <c r="CD14" s="6">
        <f>CC14*1.08</f>
        <v>548.66160000000002</v>
      </c>
      <c r="CE14" s="6">
        <f t="shared" si="9"/>
        <v>50.802</v>
      </c>
      <c r="CF14" s="6">
        <f t="shared" si="10"/>
        <v>15.240599999999999</v>
      </c>
      <c r="CG14" s="6">
        <f t="shared" si="11"/>
        <v>574.06259999999997</v>
      </c>
      <c r="CH14" s="6">
        <v>501</v>
      </c>
      <c r="CI14" s="6">
        <v>0</v>
      </c>
      <c r="CJ14" s="6">
        <v>0</v>
      </c>
      <c r="CK14" s="6">
        <f>CG14*1.2</f>
        <v>688.87511999999992</v>
      </c>
      <c r="CL14" s="6">
        <f t="shared" si="12"/>
        <v>114.81251999999995</v>
      </c>
      <c r="CM14" s="6">
        <f t="shared" si="13"/>
        <v>688.87511999999992</v>
      </c>
      <c r="CN14" t="s">
        <v>114</v>
      </c>
      <c r="CO14" t="s">
        <v>525</v>
      </c>
      <c r="CP14">
        <f t="shared" ca="1" si="14"/>
        <v>5.2120526852199589E-3</v>
      </c>
    </row>
    <row r="15" spans="1:97" x14ac:dyDescent="0.35">
      <c r="A15">
        <v>1222603017</v>
      </c>
      <c r="B15" t="s">
        <v>256</v>
      </c>
      <c r="C15" t="s">
        <v>539</v>
      </c>
      <c r="D15" t="s">
        <v>93</v>
      </c>
      <c r="E15">
        <v>4000</v>
      </c>
      <c r="F15" t="s">
        <v>94</v>
      </c>
      <c r="G15" t="s">
        <v>95</v>
      </c>
      <c r="H15" t="s">
        <v>96</v>
      </c>
      <c r="I15" t="s">
        <v>190</v>
      </c>
      <c r="J15" t="s">
        <v>98</v>
      </c>
      <c r="K15" s="6">
        <f t="shared" si="0"/>
        <v>4100.5711200000005</v>
      </c>
      <c r="L15" t="s">
        <v>99</v>
      </c>
      <c r="M15" t="s">
        <v>100</v>
      </c>
      <c r="N15" t="s">
        <v>191</v>
      </c>
      <c r="O15" t="s">
        <v>96</v>
      </c>
      <c r="P15" t="s">
        <v>96</v>
      </c>
      <c r="Q15" t="s">
        <v>540</v>
      </c>
      <c r="R15" t="s">
        <v>127</v>
      </c>
      <c r="S15" t="s">
        <v>104</v>
      </c>
      <c r="T15">
        <v>0</v>
      </c>
      <c r="U15">
        <v>30</v>
      </c>
      <c r="V15">
        <v>30</v>
      </c>
      <c r="W15" t="s">
        <v>105</v>
      </c>
      <c r="X15" t="s">
        <v>106</v>
      </c>
      <c r="Y15" t="s">
        <v>107</v>
      </c>
      <c r="Z15" t="s">
        <v>108</v>
      </c>
      <c r="AA15">
        <v>624</v>
      </c>
      <c r="AB15">
        <v>639</v>
      </c>
      <c r="AC15" t="s">
        <v>109</v>
      </c>
      <c r="AD15" t="s">
        <v>298</v>
      </c>
      <c r="AE15" s="3">
        <v>940360100000</v>
      </c>
      <c r="AF15" t="s">
        <v>181</v>
      </c>
      <c r="AG15" t="s">
        <v>127</v>
      </c>
      <c r="AH15" t="s">
        <v>182</v>
      </c>
      <c r="AI15">
        <v>9</v>
      </c>
      <c r="AJ15">
        <v>208</v>
      </c>
      <c r="AK15">
        <v>213</v>
      </c>
      <c r="AL15" t="s">
        <v>113</v>
      </c>
      <c r="AM15" s="6">
        <v>963.01</v>
      </c>
      <c r="AN15" s="6">
        <f>AM15*1.08</f>
        <v>1040.0508</v>
      </c>
      <c r="AO15" s="6">
        <f t="shared" si="1"/>
        <v>96.301000000000002</v>
      </c>
      <c r="AP15" s="6">
        <f t="shared" si="2"/>
        <v>28.8903</v>
      </c>
      <c r="AQ15" s="6">
        <f t="shared" si="3"/>
        <v>1088.2012999999999</v>
      </c>
      <c r="AR15">
        <v>501</v>
      </c>
      <c r="AS15" s="6">
        <v>0</v>
      </c>
      <c r="AT15" s="6">
        <v>0</v>
      </c>
      <c r="AU15" s="6">
        <f>AQ15*1.2</f>
        <v>1305.8415599999998</v>
      </c>
      <c r="AV15" s="6">
        <f t="shared" si="15"/>
        <v>217.6402599999999</v>
      </c>
      <c r="AW15" s="6">
        <f t="shared" si="16"/>
        <v>1305.8415599999998</v>
      </c>
      <c r="AX15" t="s">
        <v>114</v>
      </c>
      <c r="AY15" t="s">
        <v>541</v>
      </c>
      <c r="AZ15" s="3">
        <v>440711100000</v>
      </c>
      <c r="BA15" t="s">
        <v>184</v>
      </c>
      <c r="BB15" t="s">
        <v>127</v>
      </c>
      <c r="BC15" t="s">
        <v>103</v>
      </c>
      <c r="BD15">
        <v>14</v>
      </c>
      <c r="BE15">
        <v>208</v>
      </c>
      <c r="BF15">
        <v>213</v>
      </c>
      <c r="BG15" t="s">
        <v>113</v>
      </c>
      <c r="BH15" s="6">
        <v>1103.44</v>
      </c>
      <c r="BI15" s="6">
        <f>BH15*1.08</f>
        <v>1191.7152000000001</v>
      </c>
      <c r="BJ15" s="6">
        <f t="shared" si="4"/>
        <v>110.34400000000001</v>
      </c>
      <c r="BK15" s="6">
        <f t="shared" si="5"/>
        <v>33.103200000000001</v>
      </c>
      <c r="BL15" s="6">
        <f t="shared" si="6"/>
        <v>1246.8872000000001</v>
      </c>
      <c r="BM15" s="6">
        <v>501</v>
      </c>
      <c r="BN15" s="6">
        <v>0</v>
      </c>
      <c r="BO15" s="6">
        <v>0</v>
      </c>
      <c r="BP15" s="6">
        <f>BL15*1.2</f>
        <v>1496.2646400000001</v>
      </c>
      <c r="BQ15" s="6">
        <f t="shared" si="7"/>
        <v>249.37743999999998</v>
      </c>
      <c r="BR15" s="6">
        <f t="shared" si="8"/>
        <v>1496.2646400000001</v>
      </c>
      <c r="BS15" t="s">
        <v>114</v>
      </c>
      <c r="BT15" t="s">
        <v>542</v>
      </c>
      <c r="BU15" s="3">
        <v>690721000000</v>
      </c>
      <c r="BV15" t="s">
        <v>186</v>
      </c>
      <c r="BW15" t="s">
        <v>127</v>
      </c>
      <c r="BX15" t="s">
        <v>112</v>
      </c>
      <c r="BY15">
        <v>13</v>
      </c>
      <c r="BZ15">
        <v>208</v>
      </c>
      <c r="CA15">
        <v>213</v>
      </c>
      <c r="CB15" t="s">
        <v>113</v>
      </c>
      <c r="CC15" s="6">
        <v>957.57</v>
      </c>
      <c r="CD15" s="6">
        <f>CC15*1.08</f>
        <v>1034.1756</v>
      </c>
      <c r="CE15" s="6">
        <f t="shared" si="9"/>
        <v>95.757000000000005</v>
      </c>
      <c r="CF15" s="6">
        <f t="shared" si="10"/>
        <v>28.7271</v>
      </c>
      <c r="CG15" s="6">
        <f t="shared" si="11"/>
        <v>1082.0541000000001</v>
      </c>
      <c r="CH15" s="6">
        <v>501</v>
      </c>
      <c r="CI15" s="6">
        <v>0</v>
      </c>
      <c r="CJ15" s="6">
        <v>0</v>
      </c>
      <c r="CK15" s="6">
        <f>CG15*1.2</f>
        <v>1298.4649200000001</v>
      </c>
      <c r="CL15" s="6">
        <f t="shared" si="12"/>
        <v>216.41082000000006</v>
      </c>
      <c r="CM15" s="6">
        <f t="shared" si="13"/>
        <v>1298.4649200000001</v>
      </c>
      <c r="CN15" t="s">
        <v>114</v>
      </c>
      <c r="CO15" t="s">
        <v>543</v>
      </c>
      <c r="CP15">
        <f t="shared" ca="1" si="14"/>
        <v>5.6436414968320858E-2</v>
      </c>
    </row>
    <row r="16" spans="1:97" x14ac:dyDescent="0.35">
      <c r="A16">
        <v>1222603018</v>
      </c>
      <c r="B16" t="s">
        <v>265</v>
      </c>
      <c r="C16" t="s">
        <v>417</v>
      </c>
      <c r="D16" t="s">
        <v>93</v>
      </c>
      <c r="E16">
        <v>4000</v>
      </c>
      <c r="F16" t="s">
        <v>94</v>
      </c>
      <c r="G16" t="s">
        <v>95</v>
      </c>
      <c r="H16" t="s">
        <v>96</v>
      </c>
      <c r="I16" t="s">
        <v>231</v>
      </c>
      <c r="J16" t="s">
        <v>98</v>
      </c>
      <c r="K16" s="6">
        <f t="shared" si="0"/>
        <v>40074.128352</v>
      </c>
      <c r="L16" t="s">
        <v>99</v>
      </c>
      <c r="M16" t="s">
        <v>100</v>
      </c>
      <c r="N16" t="s">
        <v>232</v>
      </c>
      <c r="O16" t="s">
        <v>96</v>
      </c>
      <c r="P16" t="s">
        <v>96</v>
      </c>
      <c r="Q16" t="s">
        <v>418</v>
      </c>
      <c r="R16" t="s">
        <v>96</v>
      </c>
      <c r="S16" t="s">
        <v>104</v>
      </c>
      <c r="T16">
        <v>0</v>
      </c>
      <c r="U16">
        <v>30</v>
      </c>
      <c r="V16">
        <v>30</v>
      </c>
      <c r="W16" t="s">
        <v>105</v>
      </c>
      <c r="X16" t="s">
        <v>106</v>
      </c>
      <c r="Y16" t="s">
        <v>107</v>
      </c>
      <c r="Z16" t="s">
        <v>108</v>
      </c>
      <c r="AA16">
        <v>504</v>
      </c>
      <c r="AB16">
        <v>519</v>
      </c>
      <c r="AC16" t="s">
        <v>109</v>
      </c>
      <c r="AD16" t="s">
        <v>207</v>
      </c>
      <c r="AE16" s="3">
        <v>870323190000</v>
      </c>
      <c r="AF16" t="s">
        <v>194</v>
      </c>
      <c r="AG16" t="s">
        <v>234</v>
      </c>
      <c r="AH16" t="s">
        <v>195</v>
      </c>
      <c r="AI16">
        <v>5</v>
      </c>
      <c r="AJ16">
        <v>168</v>
      </c>
      <c r="AK16">
        <v>173</v>
      </c>
      <c r="AL16" t="s">
        <v>113</v>
      </c>
      <c r="AM16" s="6">
        <v>7836.84</v>
      </c>
      <c r="AN16" s="6">
        <f>AM16*1.08</f>
        <v>8463.7872000000007</v>
      </c>
      <c r="AO16" s="6">
        <f t="shared" si="1"/>
        <v>783.68400000000008</v>
      </c>
      <c r="AP16" s="6">
        <f t="shared" si="2"/>
        <v>235.1052</v>
      </c>
      <c r="AQ16" s="6">
        <f t="shared" si="3"/>
        <v>8855.6291999999994</v>
      </c>
      <c r="AR16">
        <v>602</v>
      </c>
      <c r="AS16" s="6">
        <v>0</v>
      </c>
      <c r="AT16" s="6">
        <f>AQ16*1.8</f>
        <v>15940.13256</v>
      </c>
      <c r="AU16" s="6">
        <f>AT16*1.2</f>
        <v>19128.159071999999</v>
      </c>
      <c r="AV16" s="6">
        <f t="shared" si="15"/>
        <v>10272.529871999999</v>
      </c>
      <c r="AW16" s="6">
        <f t="shared" si="16"/>
        <v>19128.159071999999</v>
      </c>
      <c r="AX16" t="s">
        <v>114</v>
      </c>
      <c r="AY16" t="s">
        <v>419</v>
      </c>
      <c r="AZ16" s="3">
        <v>842720000000</v>
      </c>
      <c r="BA16" t="s">
        <v>197</v>
      </c>
      <c r="BB16" t="s">
        <v>234</v>
      </c>
      <c r="BC16" t="s">
        <v>195</v>
      </c>
      <c r="BD16">
        <v>10</v>
      </c>
      <c r="BE16">
        <v>168</v>
      </c>
      <c r="BF16">
        <v>173</v>
      </c>
      <c r="BG16" t="s">
        <v>113</v>
      </c>
      <c r="BH16" s="6">
        <v>7628.5</v>
      </c>
      <c r="BI16" s="6">
        <f>BH16*1.08</f>
        <v>8238.7800000000007</v>
      </c>
      <c r="BJ16" s="6">
        <f t="shared" si="4"/>
        <v>762.85</v>
      </c>
      <c r="BK16" s="6">
        <f t="shared" si="5"/>
        <v>228.85499999999999</v>
      </c>
      <c r="BL16" s="6">
        <f t="shared" si="6"/>
        <v>8620.2049999999999</v>
      </c>
      <c r="BM16" s="6">
        <v>501</v>
      </c>
      <c r="BN16" s="6">
        <v>0</v>
      </c>
      <c r="BO16" s="6">
        <v>0</v>
      </c>
      <c r="BP16" s="6">
        <f>BL16*1.2</f>
        <v>10344.245999999999</v>
      </c>
      <c r="BQ16" s="6">
        <f t="shared" si="7"/>
        <v>1724.0409999999993</v>
      </c>
      <c r="BR16" s="6">
        <f t="shared" si="8"/>
        <v>10344.245999999999</v>
      </c>
      <c r="BS16" t="s">
        <v>114</v>
      </c>
      <c r="BT16" t="s">
        <v>420</v>
      </c>
      <c r="BU16" s="3">
        <v>640399930000</v>
      </c>
      <c r="BV16" t="s">
        <v>199</v>
      </c>
      <c r="BW16" t="s">
        <v>234</v>
      </c>
      <c r="BX16" t="s">
        <v>112</v>
      </c>
      <c r="BY16">
        <v>18</v>
      </c>
      <c r="BZ16">
        <v>168</v>
      </c>
      <c r="CA16">
        <v>173</v>
      </c>
      <c r="CB16" t="s">
        <v>113</v>
      </c>
      <c r="CC16" s="6">
        <v>7818.38</v>
      </c>
      <c r="CD16" s="6">
        <f>CC16*1.08</f>
        <v>8443.8504000000012</v>
      </c>
      <c r="CE16" s="6">
        <f t="shared" si="9"/>
        <v>781.83800000000008</v>
      </c>
      <c r="CF16" s="6">
        <f t="shared" si="10"/>
        <v>234.5514</v>
      </c>
      <c r="CG16" s="6">
        <f t="shared" si="11"/>
        <v>8834.769400000001</v>
      </c>
      <c r="CH16" s="6">
        <v>501</v>
      </c>
      <c r="CI16" s="6">
        <v>0</v>
      </c>
      <c r="CJ16" s="6">
        <v>0</v>
      </c>
      <c r="CK16" s="6">
        <f>CG16*1.2</f>
        <v>10601.72328</v>
      </c>
      <c r="CL16" s="6">
        <f t="shared" si="12"/>
        <v>1766.9538799999991</v>
      </c>
      <c r="CM16" s="6">
        <f t="shared" si="13"/>
        <v>10601.72328</v>
      </c>
      <c r="CN16" t="s">
        <v>114</v>
      </c>
      <c r="CO16" t="s">
        <v>421</v>
      </c>
      <c r="CP16">
        <f t="shared" ca="1" si="14"/>
        <v>0.83995417415766183</v>
      </c>
    </row>
    <row r="17" spans="1:94" x14ac:dyDescent="0.35">
      <c r="A17">
        <v>1222603019</v>
      </c>
      <c r="B17" t="s">
        <v>274</v>
      </c>
      <c r="C17" t="s">
        <v>284</v>
      </c>
      <c r="D17" t="s">
        <v>93</v>
      </c>
      <c r="E17">
        <v>4000</v>
      </c>
      <c r="F17" t="s">
        <v>94</v>
      </c>
      <c r="G17" t="s">
        <v>95</v>
      </c>
      <c r="H17" t="s">
        <v>96</v>
      </c>
      <c r="I17" t="s">
        <v>285</v>
      </c>
      <c r="J17" t="s">
        <v>176</v>
      </c>
      <c r="K17" s="6">
        <f t="shared" si="0"/>
        <v>1866.4087056000003</v>
      </c>
      <c r="L17" t="s">
        <v>99</v>
      </c>
      <c r="M17" t="s">
        <v>100</v>
      </c>
      <c r="N17" t="s">
        <v>286</v>
      </c>
      <c r="O17" t="s">
        <v>96</v>
      </c>
      <c r="P17" t="s">
        <v>96</v>
      </c>
      <c r="Q17" t="s">
        <v>287</v>
      </c>
      <c r="R17" t="s">
        <v>288</v>
      </c>
      <c r="S17" t="s">
        <v>104</v>
      </c>
      <c r="T17">
        <v>0</v>
      </c>
      <c r="U17">
        <v>30</v>
      </c>
      <c r="V17">
        <v>30</v>
      </c>
      <c r="W17" t="s">
        <v>105</v>
      </c>
      <c r="X17" t="s">
        <v>106</v>
      </c>
      <c r="Y17" t="s">
        <v>107</v>
      </c>
      <c r="Z17" t="s">
        <v>108</v>
      </c>
      <c r="AA17">
        <v>396</v>
      </c>
      <c r="AB17">
        <v>411</v>
      </c>
      <c r="AC17" t="s">
        <v>109</v>
      </c>
      <c r="AD17" t="s">
        <v>193</v>
      </c>
      <c r="AE17" s="3">
        <v>610910000000</v>
      </c>
      <c r="AF17" t="s">
        <v>141</v>
      </c>
      <c r="AG17" t="s">
        <v>288</v>
      </c>
      <c r="AH17" t="s">
        <v>142</v>
      </c>
      <c r="AI17">
        <v>14</v>
      </c>
      <c r="AJ17">
        <v>132</v>
      </c>
      <c r="AK17">
        <v>137</v>
      </c>
      <c r="AL17" t="s">
        <v>113</v>
      </c>
      <c r="AM17" s="6">
        <v>577.49</v>
      </c>
      <c r="AN17" s="6">
        <v>1240.5999999999999</v>
      </c>
      <c r="AO17" s="6">
        <f t="shared" si="1"/>
        <v>57.749000000000002</v>
      </c>
      <c r="AP17" s="6">
        <f t="shared" si="2"/>
        <v>17.3247</v>
      </c>
      <c r="AQ17" s="6">
        <f t="shared" si="3"/>
        <v>652.56370000000004</v>
      </c>
      <c r="AR17">
        <v>101</v>
      </c>
      <c r="AS17" s="6">
        <f>AQ17*1.12</f>
        <v>730.87134400000014</v>
      </c>
      <c r="AT17" s="6">
        <v>0</v>
      </c>
      <c r="AU17" s="6">
        <f>AS17*1.2</f>
        <v>877.04561280000019</v>
      </c>
      <c r="AV17" s="6">
        <f t="shared" si="15"/>
        <v>224.48191280000015</v>
      </c>
      <c r="AW17" s="6">
        <f t="shared" si="16"/>
        <v>877.04561280000019</v>
      </c>
      <c r="AX17" t="s">
        <v>118</v>
      </c>
      <c r="AY17" t="s">
        <v>289</v>
      </c>
      <c r="AZ17" s="3">
        <v>620342000000</v>
      </c>
      <c r="BA17" t="s">
        <v>144</v>
      </c>
      <c r="BB17" t="s">
        <v>288</v>
      </c>
      <c r="BC17" t="s">
        <v>142</v>
      </c>
      <c r="BD17">
        <v>16</v>
      </c>
      <c r="BE17">
        <v>132</v>
      </c>
      <c r="BF17">
        <v>137</v>
      </c>
      <c r="BG17" t="s">
        <v>113</v>
      </c>
      <c r="BH17" s="6">
        <v>336.5</v>
      </c>
      <c r="BI17" s="6">
        <v>1240.5999999999999</v>
      </c>
      <c r="BJ17" s="6">
        <f t="shared" si="4"/>
        <v>33.65</v>
      </c>
      <c r="BK17" s="6">
        <f t="shared" si="5"/>
        <v>10.094999999999999</v>
      </c>
      <c r="BL17" s="6">
        <f t="shared" si="6"/>
        <v>380.245</v>
      </c>
      <c r="BM17" s="6">
        <v>101</v>
      </c>
      <c r="BN17" s="6">
        <f>BL17*1.12</f>
        <v>425.87440000000004</v>
      </c>
      <c r="BO17" s="6">
        <v>0</v>
      </c>
      <c r="BP17" s="6">
        <f>BN17*1.2</f>
        <v>511.04928000000001</v>
      </c>
      <c r="BQ17" s="6">
        <f t="shared" si="7"/>
        <v>130.80428000000001</v>
      </c>
      <c r="BR17" s="6">
        <f t="shared" si="8"/>
        <v>511.04928000000001</v>
      </c>
      <c r="BS17" t="s">
        <v>118</v>
      </c>
      <c r="BT17" t="s">
        <v>290</v>
      </c>
      <c r="BU17" s="3">
        <v>520512000000</v>
      </c>
      <c r="BV17" t="s">
        <v>146</v>
      </c>
      <c r="BW17" t="s">
        <v>288</v>
      </c>
      <c r="BX17" t="s">
        <v>142</v>
      </c>
      <c r="BY17">
        <v>7</v>
      </c>
      <c r="BZ17">
        <v>132</v>
      </c>
      <c r="CA17">
        <v>137</v>
      </c>
      <c r="CB17" t="s">
        <v>113</v>
      </c>
      <c r="CC17" s="6">
        <v>326.61</v>
      </c>
      <c r="CD17" s="6">
        <v>1240.5999999999999</v>
      </c>
      <c r="CE17" s="6">
        <f t="shared" si="9"/>
        <v>32.661000000000001</v>
      </c>
      <c r="CF17" s="6">
        <f t="shared" si="10"/>
        <v>9.7982999999999993</v>
      </c>
      <c r="CG17" s="6">
        <f t="shared" si="11"/>
        <v>369.0693</v>
      </c>
      <c r="CH17" s="6">
        <v>101</v>
      </c>
      <c r="CI17" s="6">
        <f>CG17*1.08</f>
        <v>398.59484400000002</v>
      </c>
      <c r="CJ17" s="6">
        <v>0</v>
      </c>
      <c r="CK17" s="6">
        <f>CI17*1.2</f>
        <v>478.31381279999999</v>
      </c>
      <c r="CL17" s="6">
        <f t="shared" si="12"/>
        <v>109.2445128</v>
      </c>
      <c r="CM17" s="6">
        <f t="shared" si="13"/>
        <v>478.31381279999999</v>
      </c>
      <c r="CN17" t="s">
        <v>118</v>
      </c>
      <c r="CO17" t="s">
        <v>291</v>
      </c>
      <c r="CP17">
        <f t="shared" ca="1" si="14"/>
        <v>0.36312052988540844</v>
      </c>
    </row>
    <row r="18" spans="1:94" x14ac:dyDescent="0.35">
      <c r="A18">
        <v>1222603020</v>
      </c>
      <c r="B18" t="s">
        <v>283</v>
      </c>
      <c r="C18" t="s">
        <v>275</v>
      </c>
      <c r="D18" t="s">
        <v>93</v>
      </c>
      <c r="E18">
        <v>4000</v>
      </c>
      <c r="F18" t="s">
        <v>94</v>
      </c>
      <c r="G18" t="s">
        <v>95</v>
      </c>
      <c r="H18" t="s">
        <v>96</v>
      </c>
      <c r="I18" t="s">
        <v>276</v>
      </c>
      <c r="J18" t="s">
        <v>176</v>
      </c>
      <c r="K18" s="6">
        <f t="shared" si="0"/>
        <v>3684.6107297999997</v>
      </c>
      <c r="L18" t="s">
        <v>99</v>
      </c>
      <c r="M18" t="s">
        <v>100</v>
      </c>
      <c r="N18" t="s">
        <v>277</v>
      </c>
      <c r="O18" t="s">
        <v>96</v>
      </c>
      <c r="P18" t="s">
        <v>96</v>
      </c>
      <c r="Q18" t="s">
        <v>278</v>
      </c>
      <c r="R18" t="s">
        <v>96</v>
      </c>
      <c r="S18" t="s">
        <v>104</v>
      </c>
      <c r="T18">
        <v>0</v>
      </c>
      <c r="U18">
        <v>30</v>
      </c>
      <c r="V18">
        <v>30</v>
      </c>
      <c r="W18" t="s">
        <v>105</v>
      </c>
      <c r="X18" t="s">
        <v>106</v>
      </c>
      <c r="Y18" t="s">
        <v>107</v>
      </c>
      <c r="Z18" t="s">
        <v>108</v>
      </c>
      <c r="AA18">
        <v>390</v>
      </c>
      <c r="AB18">
        <v>405</v>
      </c>
      <c r="AC18" t="s">
        <v>109</v>
      </c>
      <c r="AD18" t="s">
        <v>180</v>
      </c>
      <c r="AE18" s="3">
        <v>292241000000</v>
      </c>
      <c r="AF18" t="s">
        <v>129</v>
      </c>
      <c r="AG18" t="s">
        <v>279</v>
      </c>
      <c r="AH18" t="s">
        <v>112</v>
      </c>
      <c r="AI18">
        <v>17</v>
      </c>
      <c r="AJ18">
        <v>130</v>
      </c>
      <c r="AK18">
        <v>135</v>
      </c>
      <c r="AL18" t="s">
        <v>113</v>
      </c>
      <c r="AM18" s="6">
        <v>1005.22</v>
      </c>
      <c r="AN18" s="6">
        <v>2616.2600000000002</v>
      </c>
      <c r="AO18" s="6">
        <f t="shared" si="1"/>
        <v>100.52200000000001</v>
      </c>
      <c r="AP18" s="6">
        <f t="shared" si="2"/>
        <v>30.156600000000001</v>
      </c>
      <c r="AQ18" s="6">
        <f t="shared" si="3"/>
        <v>1135.8986</v>
      </c>
      <c r="AR18">
        <v>501</v>
      </c>
      <c r="AS18" s="6">
        <f>AQ18*1.05</f>
        <v>1192.69353</v>
      </c>
      <c r="AT18" s="6">
        <v>0</v>
      </c>
      <c r="AU18" s="6">
        <f>AS18*1.2</f>
        <v>1431.2322360000001</v>
      </c>
      <c r="AV18" s="6">
        <f t="shared" si="15"/>
        <v>295.33363600000007</v>
      </c>
      <c r="AW18" s="6">
        <f t="shared" si="16"/>
        <v>1431.2322360000001</v>
      </c>
      <c r="AX18" t="s">
        <v>118</v>
      </c>
      <c r="AY18" t="s">
        <v>280</v>
      </c>
      <c r="AZ18" s="3">
        <v>390110900000</v>
      </c>
      <c r="BA18" t="s">
        <v>131</v>
      </c>
      <c r="BB18" t="s">
        <v>279</v>
      </c>
      <c r="BC18" t="s">
        <v>117</v>
      </c>
      <c r="BD18">
        <v>19</v>
      </c>
      <c r="BE18">
        <v>130</v>
      </c>
      <c r="BF18">
        <v>135</v>
      </c>
      <c r="BG18" t="s">
        <v>113</v>
      </c>
      <c r="BH18" s="6">
        <v>780.67</v>
      </c>
      <c r="BI18" s="6">
        <v>2616.2600000000002</v>
      </c>
      <c r="BJ18" s="6">
        <f t="shared" si="4"/>
        <v>78.067000000000007</v>
      </c>
      <c r="BK18" s="6">
        <f t="shared" si="5"/>
        <v>23.420099999999998</v>
      </c>
      <c r="BL18" s="6">
        <f t="shared" si="6"/>
        <v>882.15710000000001</v>
      </c>
      <c r="BM18" s="6">
        <v>501</v>
      </c>
      <c r="BN18" s="6">
        <f>BL18*1.065</f>
        <v>939.49731150000002</v>
      </c>
      <c r="BO18" s="6">
        <v>0</v>
      </c>
      <c r="BP18" s="6">
        <f>BN18*1.2</f>
        <v>1127.3967737999999</v>
      </c>
      <c r="BQ18" s="6">
        <f t="shared" si="7"/>
        <v>245.23967379999988</v>
      </c>
      <c r="BR18" s="6">
        <f t="shared" si="8"/>
        <v>1127.3967737999999</v>
      </c>
      <c r="BS18" t="s">
        <v>118</v>
      </c>
      <c r="BT18" t="s">
        <v>281</v>
      </c>
      <c r="BU18" s="3">
        <v>310210100000</v>
      </c>
      <c r="BV18" t="s">
        <v>133</v>
      </c>
      <c r="BW18" t="s">
        <v>279</v>
      </c>
      <c r="BX18" t="s">
        <v>117</v>
      </c>
      <c r="BY18">
        <v>5</v>
      </c>
      <c r="BZ18">
        <v>130</v>
      </c>
      <c r="CA18">
        <v>135</v>
      </c>
      <c r="CB18" t="s">
        <v>113</v>
      </c>
      <c r="CC18" s="6">
        <v>830.37</v>
      </c>
      <c r="CD18" s="6">
        <v>2616.2600000000002</v>
      </c>
      <c r="CE18" s="6">
        <f t="shared" si="9"/>
        <v>83.037000000000006</v>
      </c>
      <c r="CF18" s="6">
        <f t="shared" si="10"/>
        <v>24.911099999999998</v>
      </c>
      <c r="CG18" s="6">
        <f t="shared" si="11"/>
        <v>938.31810000000007</v>
      </c>
      <c r="CH18" s="6">
        <v>501</v>
      </c>
      <c r="CI18" s="6">
        <v>0</v>
      </c>
      <c r="CJ18" s="6">
        <v>0</v>
      </c>
      <c r="CK18" s="6">
        <f>CG18*1.2</f>
        <v>1125.98172</v>
      </c>
      <c r="CL18" s="6">
        <f t="shared" si="12"/>
        <v>187.66361999999992</v>
      </c>
      <c r="CM18" s="6">
        <f t="shared" si="13"/>
        <v>1125.98172</v>
      </c>
      <c r="CN18" t="s">
        <v>118</v>
      </c>
      <c r="CO18" t="s">
        <v>282</v>
      </c>
      <c r="CP18">
        <f t="shared" ca="1" si="14"/>
        <v>0.44613022748465059</v>
      </c>
    </row>
    <row r="19" spans="1:94" x14ac:dyDescent="0.35">
      <c r="A19">
        <v>1222603022</v>
      </c>
      <c r="B19" t="s">
        <v>292</v>
      </c>
      <c r="C19" t="s">
        <v>349</v>
      </c>
      <c r="D19" t="s">
        <v>93</v>
      </c>
      <c r="E19">
        <v>4000</v>
      </c>
      <c r="F19" t="s">
        <v>94</v>
      </c>
      <c r="G19" t="s">
        <v>95</v>
      </c>
      <c r="H19" t="s">
        <v>96</v>
      </c>
      <c r="I19" t="s">
        <v>350</v>
      </c>
      <c r="J19" t="s">
        <v>176</v>
      </c>
      <c r="K19" s="6">
        <f t="shared" si="0"/>
        <v>1841.2624992000001</v>
      </c>
      <c r="L19" t="s">
        <v>99</v>
      </c>
      <c r="M19" t="s">
        <v>100</v>
      </c>
      <c r="N19" t="s">
        <v>351</v>
      </c>
      <c r="O19" t="s">
        <v>96</v>
      </c>
      <c r="P19" t="s">
        <v>96</v>
      </c>
      <c r="Q19" t="s">
        <v>352</v>
      </c>
      <c r="R19" t="s">
        <v>279</v>
      </c>
      <c r="S19" t="s">
        <v>104</v>
      </c>
      <c r="T19">
        <v>0</v>
      </c>
      <c r="U19">
        <v>30</v>
      </c>
      <c r="V19">
        <v>30</v>
      </c>
      <c r="W19" t="s">
        <v>105</v>
      </c>
      <c r="X19" t="s">
        <v>106</v>
      </c>
      <c r="Y19" t="s">
        <v>107</v>
      </c>
      <c r="Z19" t="s">
        <v>108</v>
      </c>
      <c r="AA19">
        <v>438</v>
      </c>
      <c r="AB19">
        <v>453</v>
      </c>
      <c r="AC19" t="s">
        <v>109</v>
      </c>
      <c r="AD19" t="s">
        <v>193</v>
      </c>
      <c r="AE19" s="3">
        <v>610910000000</v>
      </c>
      <c r="AF19" t="s">
        <v>141</v>
      </c>
      <c r="AG19" t="s">
        <v>279</v>
      </c>
      <c r="AH19" t="s">
        <v>142</v>
      </c>
      <c r="AI19">
        <v>8</v>
      </c>
      <c r="AJ19">
        <v>146</v>
      </c>
      <c r="AK19">
        <v>151</v>
      </c>
      <c r="AL19" t="s">
        <v>113</v>
      </c>
      <c r="AM19" s="6">
        <v>304.85000000000002</v>
      </c>
      <c r="AN19" s="6">
        <v>1224.04</v>
      </c>
      <c r="AO19" s="6">
        <f t="shared" si="1"/>
        <v>30.485000000000003</v>
      </c>
      <c r="AP19" s="6">
        <f t="shared" si="2"/>
        <v>9.1455000000000002</v>
      </c>
      <c r="AQ19" s="6">
        <f t="shared" si="3"/>
        <v>344.48050000000006</v>
      </c>
      <c r="AR19">
        <v>101</v>
      </c>
      <c r="AS19" s="6">
        <f>AQ19*1.12</f>
        <v>385.81816000000009</v>
      </c>
      <c r="AT19" s="6">
        <v>0</v>
      </c>
      <c r="AU19" s="6">
        <f>AS19*1.2</f>
        <v>462.9817920000001</v>
      </c>
      <c r="AV19" s="6">
        <f t="shared" si="15"/>
        <v>118.50129200000003</v>
      </c>
      <c r="AW19" s="6">
        <f t="shared" si="16"/>
        <v>462.9817920000001</v>
      </c>
      <c r="AX19" t="s">
        <v>118</v>
      </c>
      <c r="AY19" t="s">
        <v>353</v>
      </c>
      <c r="AZ19" s="3">
        <v>620342000000</v>
      </c>
      <c r="BA19" t="s">
        <v>144</v>
      </c>
      <c r="BB19" t="s">
        <v>279</v>
      </c>
      <c r="BC19" t="s">
        <v>142</v>
      </c>
      <c r="BD19">
        <v>15</v>
      </c>
      <c r="BE19">
        <v>146</v>
      </c>
      <c r="BF19">
        <v>151</v>
      </c>
      <c r="BG19" t="s">
        <v>113</v>
      </c>
      <c r="BH19" s="6">
        <v>592.65</v>
      </c>
      <c r="BI19" s="6">
        <v>1224.04</v>
      </c>
      <c r="BJ19" s="6">
        <f t="shared" si="4"/>
        <v>59.265000000000001</v>
      </c>
      <c r="BK19" s="6">
        <f t="shared" si="5"/>
        <v>17.779499999999999</v>
      </c>
      <c r="BL19" s="6">
        <f t="shared" si="6"/>
        <v>669.69449999999995</v>
      </c>
      <c r="BM19" s="6">
        <v>101</v>
      </c>
      <c r="BN19" s="6">
        <f>BL19*1.12</f>
        <v>750.05784000000006</v>
      </c>
      <c r="BO19" s="6">
        <v>0</v>
      </c>
      <c r="BP19" s="6">
        <f>BN19*1.2</f>
        <v>900.06940800000007</v>
      </c>
      <c r="BQ19" s="6">
        <f t="shared" si="7"/>
        <v>230.37490800000012</v>
      </c>
      <c r="BR19" s="6">
        <f t="shared" si="8"/>
        <v>900.06940800000007</v>
      </c>
      <c r="BS19" t="s">
        <v>118</v>
      </c>
      <c r="BT19" t="s">
        <v>354</v>
      </c>
      <c r="BU19" s="3">
        <v>520512000000</v>
      </c>
      <c r="BV19" t="s">
        <v>146</v>
      </c>
      <c r="BW19" t="s">
        <v>279</v>
      </c>
      <c r="BX19" t="s">
        <v>142</v>
      </c>
      <c r="BY19">
        <v>15</v>
      </c>
      <c r="BZ19">
        <v>146</v>
      </c>
      <c r="CA19">
        <v>151</v>
      </c>
      <c r="CB19" t="s">
        <v>113</v>
      </c>
      <c r="CC19" s="6">
        <v>326.54000000000002</v>
      </c>
      <c r="CD19" s="6">
        <v>1224.04</v>
      </c>
      <c r="CE19" s="6">
        <f t="shared" si="9"/>
        <v>32.654000000000003</v>
      </c>
      <c r="CF19" s="6">
        <f t="shared" si="10"/>
        <v>9.7962000000000007</v>
      </c>
      <c r="CG19" s="6">
        <f t="shared" si="11"/>
        <v>368.99020000000002</v>
      </c>
      <c r="CH19" s="6">
        <v>101</v>
      </c>
      <c r="CI19" s="6">
        <f>CG19*1.08</f>
        <v>398.50941600000004</v>
      </c>
      <c r="CJ19" s="6">
        <v>0</v>
      </c>
      <c r="CK19" s="6">
        <f>CI19*1.2</f>
        <v>478.21129920000004</v>
      </c>
      <c r="CL19" s="6">
        <f t="shared" si="12"/>
        <v>109.22109920000003</v>
      </c>
      <c r="CM19" s="6">
        <f t="shared" si="13"/>
        <v>478.21129920000004</v>
      </c>
      <c r="CN19" t="s">
        <v>118</v>
      </c>
      <c r="CO19" t="s">
        <v>355</v>
      </c>
      <c r="CP19">
        <f t="shared" ca="1" si="14"/>
        <v>0.79725105491203596</v>
      </c>
    </row>
    <row r="20" spans="1:94" x14ac:dyDescent="0.35">
      <c r="A20">
        <v>1222603023</v>
      </c>
      <c r="B20" t="s">
        <v>302</v>
      </c>
      <c r="C20" t="s">
        <v>436</v>
      </c>
      <c r="D20" t="s">
        <v>93</v>
      </c>
      <c r="E20">
        <v>4000</v>
      </c>
      <c r="F20" t="s">
        <v>94</v>
      </c>
      <c r="G20" t="s">
        <v>95</v>
      </c>
      <c r="H20" t="s">
        <v>96</v>
      </c>
      <c r="I20" t="s">
        <v>258</v>
      </c>
      <c r="J20" t="s">
        <v>176</v>
      </c>
      <c r="K20" s="6">
        <f t="shared" si="0"/>
        <v>2304.1124880000002</v>
      </c>
      <c r="L20" t="s">
        <v>99</v>
      </c>
      <c r="M20" t="s">
        <v>100</v>
      </c>
      <c r="N20" t="s">
        <v>259</v>
      </c>
      <c r="O20" t="s">
        <v>96</v>
      </c>
      <c r="P20" t="s">
        <v>96</v>
      </c>
      <c r="Q20" t="s">
        <v>437</v>
      </c>
      <c r="R20" t="s">
        <v>261</v>
      </c>
      <c r="S20" t="s">
        <v>104</v>
      </c>
      <c r="T20">
        <v>0</v>
      </c>
      <c r="U20">
        <v>30</v>
      </c>
      <c r="V20">
        <v>30</v>
      </c>
      <c r="W20" t="s">
        <v>105</v>
      </c>
      <c r="X20" t="s">
        <v>106</v>
      </c>
      <c r="Y20" t="s">
        <v>107</v>
      </c>
      <c r="Z20" t="s">
        <v>108</v>
      </c>
      <c r="AA20">
        <v>522</v>
      </c>
      <c r="AB20">
        <v>537</v>
      </c>
      <c r="AC20" t="s">
        <v>109</v>
      </c>
      <c r="AD20" t="s">
        <v>207</v>
      </c>
      <c r="AE20" s="3">
        <v>610910000000</v>
      </c>
      <c r="AF20" t="s">
        <v>141</v>
      </c>
      <c r="AG20" t="s">
        <v>261</v>
      </c>
      <c r="AH20" t="s">
        <v>142</v>
      </c>
      <c r="AI20">
        <v>13</v>
      </c>
      <c r="AJ20">
        <v>174</v>
      </c>
      <c r="AK20">
        <v>179</v>
      </c>
      <c r="AL20" t="s">
        <v>113</v>
      </c>
      <c r="AM20" s="6">
        <v>472.83</v>
      </c>
      <c r="AN20" s="6">
        <f>AM20*1.08</f>
        <v>510.65640000000002</v>
      </c>
      <c r="AO20" s="6">
        <f t="shared" si="1"/>
        <v>47.283000000000001</v>
      </c>
      <c r="AP20" s="6">
        <f t="shared" si="2"/>
        <v>14.184899999999999</v>
      </c>
      <c r="AQ20" s="6">
        <f t="shared" si="3"/>
        <v>534.29789999999991</v>
      </c>
      <c r="AR20">
        <v>101</v>
      </c>
      <c r="AS20" s="6">
        <f>AQ20*1.12</f>
        <v>598.41364799999997</v>
      </c>
      <c r="AT20" s="6">
        <v>0</v>
      </c>
      <c r="AU20" s="6">
        <f>AS20*1.2</f>
        <v>718.09637759999998</v>
      </c>
      <c r="AV20" s="6">
        <f t="shared" si="15"/>
        <v>183.79847760000007</v>
      </c>
      <c r="AW20" s="6">
        <f t="shared" si="16"/>
        <v>718.09637759999998</v>
      </c>
      <c r="AX20" t="s">
        <v>118</v>
      </c>
      <c r="AY20" t="s">
        <v>438</v>
      </c>
      <c r="AZ20" s="3">
        <v>620342000000</v>
      </c>
      <c r="BA20" t="s">
        <v>144</v>
      </c>
      <c r="BB20" t="s">
        <v>261</v>
      </c>
      <c r="BC20" t="s">
        <v>142</v>
      </c>
      <c r="BD20">
        <v>18</v>
      </c>
      <c r="BE20">
        <v>174</v>
      </c>
      <c r="BF20">
        <v>179</v>
      </c>
      <c r="BG20" t="s">
        <v>113</v>
      </c>
      <c r="BH20" s="6">
        <v>585.07000000000005</v>
      </c>
      <c r="BI20" s="6">
        <f>BH20*1.08</f>
        <v>631.87560000000008</v>
      </c>
      <c r="BJ20" s="6">
        <f t="shared" si="4"/>
        <v>58.507000000000005</v>
      </c>
      <c r="BK20" s="6">
        <f t="shared" si="5"/>
        <v>17.552099999999999</v>
      </c>
      <c r="BL20" s="6">
        <f t="shared" si="6"/>
        <v>661.12909999999999</v>
      </c>
      <c r="BM20" s="6">
        <v>101</v>
      </c>
      <c r="BN20" s="6">
        <f>BL20*1.12</f>
        <v>740.46459200000004</v>
      </c>
      <c r="BO20" s="6">
        <v>0</v>
      </c>
      <c r="BP20" s="6">
        <f>BN20*1.2</f>
        <v>888.55751040000007</v>
      </c>
      <c r="BQ20" s="6">
        <f t="shared" si="7"/>
        <v>227.42841040000008</v>
      </c>
      <c r="BR20" s="6">
        <f t="shared" si="8"/>
        <v>888.55751040000007</v>
      </c>
      <c r="BS20" t="s">
        <v>118</v>
      </c>
      <c r="BT20" t="s">
        <v>439</v>
      </c>
      <c r="BU20" s="3">
        <v>520512000000</v>
      </c>
      <c r="BV20" t="s">
        <v>146</v>
      </c>
      <c r="BW20" t="s">
        <v>261</v>
      </c>
      <c r="BX20" t="s">
        <v>142</v>
      </c>
      <c r="BY20">
        <v>14</v>
      </c>
      <c r="BZ20">
        <v>174</v>
      </c>
      <c r="CA20">
        <v>179</v>
      </c>
      <c r="CB20" t="s">
        <v>113</v>
      </c>
      <c r="CC20" s="6">
        <v>476.25</v>
      </c>
      <c r="CD20" s="6">
        <f>CC20*1.08</f>
        <v>514.35</v>
      </c>
      <c r="CE20" s="6">
        <f t="shared" si="9"/>
        <v>47.625</v>
      </c>
      <c r="CF20" s="6">
        <f t="shared" si="10"/>
        <v>14.2875</v>
      </c>
      <c r="CG20" s="6">
        <f t="shared" si="11"/>
        <v>538.16250000000002</v>
      </c>
      <c r="CH20" s="6">
        <v>101</v>
      </c>
      <c r="CI20" s="6">
        <f>CG20*1.08</f>
        <v>581.21550000000002</v>
      </c>
      <c r="CJ20" s="6">
        <v>0</v>
      </c>
      <c r="CK20" s="6">
        <f>CI20*1.2</f>
        <v>697.45860000000005</v>
      </c>
      <c r="CL20" s="6">
        <f t="shared" si="12"/>
        <v>159.29610000000002</v>
      </c>
      <c r="CM20" s="6">
        <f t="shared" si="13"/>
        <v>697.45860000000005</v>
      </c>
      <c r="CN20" t="s">
        <v>118</v>
      </c>
      <c r="CO20" t="s">
        <v>440</v>
      </c>
      <c r="CP20">
        <f t="shared" ca="1" si="14"/>
        <v>0.85170208385498003</v>
      </c>
    </row>
    <row r="21" spans="1:94" x14ac:dyDescent="0.35">
      <c r="A21">
        <v>1222603024</v>
      </c>
      <c r="B21" t="s">
        <v>311</v>
      </c>
      <c r="C21" t="s">
        <v>149</v>
      </c>
      <c r="D21" t="s">
        <v>93</v>
      </c>
      <c r="E21">
        <v>4000</v>
      </c>
      <c r="F21" t="s">
        <v>94</v>
      </c>
      <c r="G21" t="s">
        <v>95</v>
      </c>
      <c r="H21" t="s">
        <v>96</v>
      </c>
      <c r="I21" t="s">
        <v>150</v>
      </c>
      <c r="J21" t="s">
        <v>98</v>
      </c>
      <c r="K21" s="6">
        <f t="shared" si="0"/>
        <v>6151.8601200000003</v>
      </c>
      <c r="L21" t="s">
        <v>99</v>
      </c>
      <c r="M21" t="s">
        <v>100</v>
      </c>
      <c r="N21" t="s">
        <v>151</v>
      </c>
      <c r="O21" t="s">
        <v>96</v>
      </c>
      <c r="P21" t="s">
        <v>96</v>
      </c>
      <c r="Q21" t="s">
        <v>152</v>
      </c>
      <c r="R21" t="s">
        <v>153</v>
      </c>
      <c r="S21" t="s">
        <v>104</v>
      </c>
      <c r="T21">
        <v>0</v>
      </c>
      <c r="U21">
        <v>30</v>
      </c>
      <c r="V21">
        <v>30</v>
      </c>
      <c r="W21" t="s">
        <v>105</v>
      </c>
      <c r="X21" t="s">
        <v>106</v>
      </c>
      <c r="Y21" t="s">
        <v>107</v>
      </c>
      <c r="Z21" t="s">
        <v>108</v>
      </c>
      <c r="AA21">
        <v>318</v>
      </c>
      <c r="AB21">
        <v>333</v>
      </c>
      <c r="AC21" t="s">
        <v>109</v>
      </c>
      <c r="AD21" t="s">
        <v>128</v>
      </c>
      <c r="AE21" s="3">
        <v>847130000000</v>
      </c>
      <c r="AF21" t="s">
        <v>154</v>
      </c>
      <c r="AG21" t="s">
        <v>153</v>
      </c>
      <c r="AH21" t="s">
        <v>112</v>
      </c>
      <c r="AI21">
        <v>5</v>
      </c>
      <c r="AJ21">
        <v>106</v>
      </c>
      <c r="AK21">
        <v>111</v>
      </c>
      <c r="AL21" t="s">
        <v>113</v>
      </c>
      <c r="AM21" s="6">
        <v>1103.32</v>
      </c>
      <c r="AN21" s="6">
        <f>AM21*1.08</f>
        <v>1191.5856000000001</v>
      </c>
      <c r="AO21" s="6">
        <f t="shared" si="1"/>
        <v>110.33199999999999</v>
      </c>
      <c r="AP21" s="6">
        <f t="shared" si="2"/>
        <v>33.099599999999995</v>
      </c>
      <c r="AQ21" s="6">
        <f t="shared" si="3"/>
        <v>1246.7516000000001</v>
      </c>
      <c r="AR21">
        <v>501</v>
      </c>
      <c r="AS21" s="6">
        <v>0</v>
      </c>
      <c r="AT21" s="6">
        <v>0</v>
      </c>
      <c r="AU21" s="6">
        <f>AQ21*1.2</f>
        <v>1496.1019200000001</v>
      </c>
      <c r="AV21" s="6">
        <f t="shared" si="15"/>
        <v>249.35032000000001</v>
      </c>
      <c r="AW21" s="6">
        <f t="shared" si="16"/>
        <v>1496.1019200000001</v>
      </c>
      <c r="AX21" t="s">
        <v>114</v>
      </c>
      <c r="AY21" t="s">
        <v>155</v>
      </c>
      <c r="AZ21" s="3">
        <v>851713000000</v>
      </c>
      <c r="BA21" t="s">
        <v>156</v>
      </c>
      <c r="BB21" t="s">
        <v>153</v>
      </c>
      <c r="BC21" t="s">
        <v>112</v>
      </c>
      <c r="BD21">
        <v>5</v>
      </c>
      <c r="BE21">
        <v>106</v>
      </c>
      <c r="BF21">
        <v>111</v>
      </c>
      <c r="BG21" t="s">
        <v>113</v>
      </c>
      <c r="BH21" s="6">
        <v>1609</v>
      </c>
      <c r="BI21" s="6">
        <f>BH21*1.08</f>
        <v>1737.72</v>
      </c>
      <c r="BJ21" s="6">
        <f t="shared" si="4"/>
        <v>160.9</v>
      </c>
      <c r="BK21" s="6">
        <f t="shared" si="5"/>
        <v>48.269999999999996</v>
      </c>
      <c r="BL21" s="6">
        <f t="shared" si="6"/>
        <v>1818.17</v>
      </c>
      <c r="BM21" s="6">
        <v>602</v>
      </c>
      <c r="BN21" s="6">
        <v>0</v>
      </c>
      <c r="BO21" s="6">
        <f>BL21*1.5</f>
        <v>2727.2550000000001</v>
      </c>
      <c r="BP21" s="6">
        <f>BO21*1.2</f>
        <v>3272.7060000000001</v>
      </c>
      <c r="BQ21" s="6">
        <f t="shared" si="7"/>
        <v>1454.5360000000001</v>
      </c>
      <c r="BR21" s="6">
        <f t="shared" si="8"/>
        <v>3272.7060000000001</v>
      </c>
      <c r="BS21" t="s">
        <v>114</v>
      </c>
      <c r="BT21" t="s">
        <v>157</v>
      </c>
      <c r="BU21" s="3">
        <v>701349100000</v>
      </c>
      <c r="BV21" t="s">
        <v>158</v>
      </c>
      <c r="BW21" t="s">
        <v>153</v>
      </c>
      <c r="BX21" t="s">
        <v>112</v>
      </c>
      <c r="BY21">
        <v>5</v>
      </c>
      <c r="BZ21">
        <v>106</v>
      </c>
      <c r="CA21">
        <v>111</v>
      </c>
      <c r="CB21" t="s">
        <v>113</v>
      </c>
      <c r="CC21" s="6">
        <v>1019.95</v>
      </c>
      <c r="CD21" s="6">
        <f>CC21*1.08</f>
        <v>1101.546</v>
      </c>
      <c r="CE21" s="6">
        <f t="shared" si="9"/>
        <v>101.995</v>
      </c>
      <c r="CF21" s="6">
        <f t="shared" si="10"/>
        <v>30.598500000000001</v>
      </c>
      <c r="CG21" s="6">
        <f t="shared" si="11"/>
        <v>1152.5435000000002</v>
      </c>
      <c r="CH21" s="6">
        <v>501</v>
      </c>
      <c r="CI21" s="6">
        <v>0</v>
      </c>
      <c r="CJ21" s="6">
        <v>0</v>
      </c>
      <c r="CK21" s="6">
        <f>CG21*1.2</f>
        <v>1383.0522000000003</v>
      </c>
      <c r="CL21" s="6">
        <f t="shared" si="12"/>
        <v>230.50870000000009</v>
      </c>
      <c r="CM21" s="6">
        <f t="shared" si="13"/>
        <v>1383.0522000000003</v>
      </c>
      <c r="CN21" t="s">
        <v>114</v>
      </c>
      <c r="CO21" t="s">
        <v>159</v>
      </c>
      <c r="CP21">
        <f t="shared" ca="1" si="14"/>
        <v>0.78093074054963363</v>
      </c>
    </row>
    <row r="22" spans="1:94" x14ac:dyDescent="0.35">
      <c r="A22">
        <v>1222603025</v>
      </c>
      <c r="B22" t="s">
        <v>320</v>
      </c>
      <c r="C22" t="s">
        <v>189</v>
      </c>
      <c r="D22" t="s">
        <v>93</v>
      </c>
      <c r="E22">
        <v>4000</v>
      </c>
      <c r="F22" t="s">
        <v>94</v>
      </c>
      <c r="G22" t="s">
        <v>95</v>
      </c>
      <c r="H22" t="s">
        <v>96</v>
      </c>
      <c r="I22" t="s">
        <v>190</v>
      </c>
      <c r="J22" t="s">
        <v>98</v>
      </c>
      <c r="K22" s="6">
        <f t="shared" si="0"/>
        <v>34836.939048</v>
      </c>
      <c r="L22" t="s">
        <v>99</v>
      </c>
      <c r="M22" t="s">
        <v>100</v>
      </c>
      <c r="N22" t="s">
        <v>191</v>
      </c>
      <c r="O22" t="s">
        <v>96</v>
      </c>
      <c r="P22" t="s">
        <v>96</v>
      </c>
      <c r="Q22" t="s">
        <v>192</v>
      </c>
      <c r="R22" t="s">
        <v>127</v>
      </c>
      <c r="S22" t="s">
        <v>104</v>
      </c>
      <c r="T22">
        <v>0</v>
      </c>
      <c r="U22">
        <v>30</v>
      </c>
      <c r="V22">
        <v>30</v>
      </c>
      <c r="W22" t="s">
        <v>105</v>
      </c>
      <c r="X22" t="s">
        <v>106</v>
      </c>
      <c r="Y22" t="s">
        <v>107</v>
      </c>
      <c r="Z22" t="s">
        <v>108</v>
      </c>
      <c r="AA22">
        <v>336</v>
      </c>
      <c r="AB22">
        <v>351</v>
      </c>
      <c r="AC22" t="s">
        <v>109</v>
      </c>
      <c r="AD22" t="s">
        <v>193</v>
      </c>
      <c r="AE22" s="3">
        <v>870323190000</v>
      </c>
      <c r="AF22" t="s">
        <v>194</v>
      </c>
      <c r="AG22" t="s">
        <v>127</v>
      </c>
      <c r="AH22" t="s">
        <v>195</v>
      </c>
      <c r="AI22">
        <v>16</v>
      </c>
      <c r="AJ22">
        <v>112</v>
      </c>
      <c r="AK22">
        <v>117</v>
      </c>
      <c r="AL22" t="s">
        <v>113</v>
      </c>
      <c r="AM22" s="6">
        <v>7233.56</v>
      </c>
      <c r="AN22" s="6">
        <f>AM22*1.08</f>
        <v>7812.2448000000013</v>
      </c>
      <c r="AO22" s="6">
        <f t="shared" si="1"/>
        <v>723.35600000000011</v>
      </c>
      <c r="AP22" s="6">
        <f t="shared" si="2"/>
        <v>217.0068</v>
      </c>
      <c r="AQ22" s="6">
        <f t="shared" si="3"/>
        <v>8173.9228000000003</v>
      </c>
      <c r="AR22">
        <v>602</v>
      </c>
      <c r="AS22" s="6">
        <v>0</v>
      </c>
      <c r="AT22" s="6">
        <f>AQ22*1.8</f>
        <v>14713.061040000001</v>
      </c>
      <c r="AU22" s="6">
        <f>AT22*1.2</f>
        <v>17655.673247999999</v>
      </c>
      <c r="AV22" s="6">
        <f t="shared" si="15"/>
        <v>9481.7504479999989</v>
      </c>
      <c r="AW22" s="6">
        <f t="shared" si="16"/>
        <v>17655.673247999999</v>
      </c>
      <c r="AX22" t="s">
        <v>114</v>
      </c>
      <c r="AY22" t="s">
        <v>196</v>
      </c>
      <c r="AZ22" s="3">
        <v>842720000000</v>
      </c>
      <c r="BA22" t="s">
        <v>197</v>
      </c>
      <c r="BB22" t="s">
        <v>127</v>
      </c>
      <c r="BC22" t="s">
        <v>195</v>
      </c>
      <c r="BD22">
        <v>16</v>
      </c>
      <c r="BE22">
        <v>112</v>
      </c>
      <c r="BF22">
        <v>117</v>
      </c>
      <c r="BG22" t="s">
        <v>113</v>
      </c>
      <c r="BH22" s="6">
        <v>6729.91</v>
      </c>
      <c r="BI22" s="6">
        <f>BH22*1.08</f>
        <v>7268.3028000000004</v>
      </c>
      <c r="BJ22" s="6">
        <f t="shared" si="4"/>
        <v>672.99099999999999</v>
      </c>
      <c r="BK22" s="6">
        <f t="shared" si="5"/>
        <v>201.8973</v>
      </c>
      <c r="BL22" s="6">
        <f t="shared" si="6"/>
        <v>7604.7982999999995</v>
      </c>
      <c r="BM22" s="6">
        <v>501</v>
      </c>
      <c r="BN22" s="6">
        <v>0</v>
      </c>
      <c r="BO22" s="6">
        <v>0</v>
      </c>
      <c r="BP22" s="6">
        <f>BL22*1.2</f>
        <v>9125.757959999999</v>
      </c>
      <c r="BQ22" s="6">
        <f t="shared" si="7"/>
        <v>1520.9596599999995</v>
      </c>
      <c r="BR22" s="6">
        <f t="shared" si="8"/>
        <v>9125.757959999999</v>
      </c>
      <c r="BS22" t="s">
        <v>114</v>
      </c>
      <c r="BT22" t="s">
        <v>198</v>
      </c>
      <c r="BU22" s="3">
        <v>640399930000</v>
      </c>
      <c r="BV22" t="s">
        <v>199</v>
      </c>
      <c r="BW22" t="s">
        <v>127</v>
      </c>
      <c r="BX22" t="s">
        <v>112</v>
      </c>
      <c r="BY22">
        <v>20</v>
      </c>
      <c r="BZ22">
        <v>112</v>
      </c>
      <c r="CA22">
        <v>117</v>
      </c>
      <c r="CB22" t="s">
        <v>113</v>
      </c>
      <c r="CC22" s="6">
        <v>5940.64</v>
      </c>
      <c r="CD22" s="6">
        <f>CC22*1.08</f>
        <v>6415.8912000000009</v>
      </c>
      <c r="CE22" s="6">
        <f t="shared" si="9"/>
        <v>594.06400000000008</v>
      </c>
      <c r="CF22" s="6">
        <f t="shared" si="10"/>
        <v>178.2192</v>
      </c>
      <c r="CG22" s="6">
        <f t="shared" si="11"/>
        <v>6712.9232000000011</v>
      </c>
      <c r="CH22" s="6">
        <v>501</v>
      </c>
      <c r="CI22" s="6">
        <v>0</v>
      </c>
      <c r="CJ22" s="6">
        <v>0</v>
      </c>
      <c r="CK22" s="6">
        <f>CG22*1.2</f>
        <v>8055.5078400000011</v>
      </c>
      <c r="CL22" s="6">
        <f t="shared" si="12"/>
        <v>1342.58464</v>
      </c>
      <c r="CM22" s="6">
        <f t="shared" si="13"/>
        <v>8055.5078400000011</v>
      </c>
      <c r="CN22" t="s">
        <v>114</v>
      </c>
      <c r="CO22" t="s">
        <v>200</v>
      </c>
      <c r="CP22">
        <f t="shared" ca="1" si="14"/>
        <v>0.31515346107210584</v>
      </c>
    </row>
    <row r="23" spans="1:94" x14ac:dyDescent="0.35">
      <c r="A23">
        <v>1222603028</v>
      </c>
      <c r="B23" t="s">
        <v>329</v>
      </c>
      <c r="C23" t="s">
        <v>202</v>
      </c>
      <c r="D23" t="s">
        <v>93</v>
      </c>
      <c r="E23">
        <v>4000</v>
      </c>
      <c r="F23" t="s">
        <v>94</v>
      </c>
      <c r="G23" t="s">
        <v>95</v>
      </c>
      <c r="H23" t="s">
        <v>96</v>
      </c>
      <c r="I23" t="s">
        <v>203</v>
      </c>
      <c r="J23" t="s">
        <v>98</v>
      </c>
      <c r="K23" s="6">
        <f t="shared" si="0"/>
        <v>2593.6722760000002</v>
      </c>
      <c r="L23" t="s">
        <v>99</v>
      </c>
      <c r="M23" t="s">
        <v>100</v>
      </c>
      <c r="N23" t="s">
        <v>204</v>
      </c>
      <c r="O23" t="s">
        <v>96</v>
      </c>
      <c r="P23" t="s">
        <v>96</v>
      </c>
      <c r="Q23" t="s">
        <v>205</v>
      </c>
      <c r="R23" t="s">
        <v>206</v>
      </c>
      <c r="S23" t="s">
        <v>104</v>
      </c>
      <c r="T23">
        <v>0</v>
      </c>
      <c r="U23">
        <v>30</v>
      </c>
      <c r="V23">
        <v>30</v>
      </c>
      <c r="W23" t="s">
        <v>105</v>
      </c>
      <c r="X23" t="s">
        <v>106</v>
      </c>
      <c r="Y23" t="s">
        <v>107</v>
      </c>
      <c r="Z23" t="s">
        <v>108</v>
      </c>
      <c r="AA23">
        <v>342</v>
      </c>
      <c r="AB23">
        <v>357</v>
      </c>
      <c r="AC23" t="s">
        <v>109</v>
      </c>
      <c r="AD23" t="s">
        <v>207</v>
      </c>
      <c r="AE23" s="3">
        <v>190531990000</v>
      </c>
      <c r="AF23" t="s">
        <v>111</v>
      </c>
      <c r="AG23" t="s">
        <v>206</v>
      </c>
      <c r="AH23" t="s">
        <v>112</v>
      </c>
      <c r="AI23">
        <v>19</v>
      </c>
      <c r="AJ23">
        <v>114</v>
      </c>
      <c r="AK23">
        <v>119</v>
      </c>
      <c r="AL23" t="s">
        <v>113</v>
      </c>
      <c r="AM23" s="6">
        <v>789.08</v>
      </c>
      <c r="AN23" s="6">
        <f>AM23*1.08</f>
        <v>852.20640000000014</v>
      </c>
      <c r="AO23" s="6">
        <f t="shared" si="1"/>
        <v>78.908000000000015</v>
      </c>
      <c r="AP23" s="6">
        <f t="shared" si="2"/>
        <v>23.6724</v>
      </c>
      <c r="AQ23" s="6">
        <f t="shared" si="3"/>
        <v>891.6604000000001</v>
      </c>
      <c r="AR23">
        <v>501</v>
      </c>
      <c r="AS23" s="6">
        <v>0</v>
      </c>
      <c r="AT23" s="6">
        <v>0</v>
      </c>
      <c r="AU23" s="6">
        <f>AQ23*1.2</f>
        <v>1069.9924800000001</v>
      </c>
      <c r="AV23" s="6">
        <f t="shared" si="15"/>
        <v>178.33208000000002</v>
      </c>
      <c r="AW23" s="6">
        <f t="shared" si="16"/>
        <v>1069.9924800000001</v>
      </c>
      <c r="AX23" t="s">
        <v>114</v>
      </c>
      <c r="AY23" t="s">
        <v>208</v>
      </c>
      <c r="AZ23" s="3">
        <v>804100000000</v>
      </c>
      <c r="BA23" t="s">
        <v>116</v>
      </c>
      <c r="BB23" t="s">
        <v>206</v>
      </c>
      <c r="BC23" t="s">
        <v>117</v>
      </c>
      <c r="BD23">
        <v>18</v>
      </c>
      <c r="BE23">
        <v>114</v>
      </c>
      <c r="BF23">
        <v>119</v>
      </c>
      <c r="BG23" t="s">
        <v>113</v>
      </c>
      <c r="BH23" s="6">
        <v>568.73</v>
      </c>
      <c r="BI23" s="6">
        <f>BH23*1.08</f>
        <v>614.22840000000008</v>
      </c>
      <c r="BJ23" s="6">
        <f t="shared" si="4"/>
        <v>56.873000000000005</v>
      </c>
      <c r="BK23" s="6">
        <f t="shared" si="5"/>
        <v>17.061900000000001</v>
      </c>
      <c r="BL23" s="6">
        <f t="shared" si="6"/>
        <v>642.6649000000001</v>
      </c>
      <c r="BM23" s="6">
        <v>501</v>
      </c>
      <c r="BN23" s="6">
        <v>0</v>
      </c>
      <c r="BO23" s="6">
        <v>0</v>
      </c>
      <c r="BP23" s="6">
        <f>BL23*1.2</f>
        <v>771.19788000000005</v>
      </c>
      <c r="BQ23" s="6">
        <f t="shared" si="7"/>
        <v>128.53297999999995</v>
      </c>
      <c r="BR23" s="6">
        <f t="shared" si="8"/>
        <v>771.19788000000005</v>
      </c>
      <c r="BS23" t="s">
        <v>118</v>
      </c>
      <c r="BT23" t="s">
        <v>209</v>
      </c>
      <c r="BU23" s="3">
        <v>100199000000</v>
      </c>
      <c r="BV23" t="s">
        <v>120</v>
      </c>
      <c r="BW23" t="s">
        <v>206</v>
      </c>
      <c r="BX23" t="s">
        <v>117</v>
      </c>
      <c r="BY23">
        <v>9</v>
      </c>
      <c r="BZ23">
        <v>114</v>
      </c>
      <c r="CA23">
        <v>119</v>
      </c>
      <c r="CB23" t="s">
        <v>113</v>
      </c>
      <c r="CC23" s="6">
        <v>659.32</v>
      </c>
      <c r="CD23" s="6">
        <f>CC23*1.08</f>
        <v>712.06560000000013</v>
      </c>
      <c r="CE23" s="6">
        <f t="shared" si="9"/>
        <v>65.932000000000002</v>
      </c>
      <c r="CF23" s="6">
        <f t="shared" si="10"/>
        <v>19.779600000000002</v>
      </c>
      <c r="CG23" s="6">
        <f t="shared" si="11"/>
        <v>745.03160000000003</v>
      </c>
      <c r="CH23" s="6">
        <v>501</v>
      </c>
      <c r="CI23" s="6">
        <v>0</v>
      </c>
      <c r="CJ23" s="6">
        <v>0</v>
      </c>
      <c r="CK23" s="6">
        <f>CG23*1.01</f>
        <v>752.48191600000007</v>
      </c>
      <c r="CL23" s="6">
        <f t="shared" si="12"/>
        <v>7.4503160000000435</v>
      </c>
      <c r="CM23" s="6">
        <f t="shared" si="13"/>
        <v>752.48191600000007</v>
      </c>
      <c r="CN23" t="s">
        <v>118</v>
      </c>
      <c r="CO23" t="s">
        <v>210</v>
      </c>
      <c r="CP23">
        <f t="shared" ca="1" si="14"/>
        <v>0.89395908965128679</v>
      </c>
    </row>
    <row r="24" spans="1:94" x14ac:dyDescent="0.35">
      <c r="A24">
        <v>1222603029</v>
      </c>
      <c r="B24" t="s">
        <v>338</v>
      </c>
      <c r="C24" t="s">
        <v>321</v>
      </c>
      <c r="D24" t="s">
        <v>93</v>
      </c>
      <c r="E24">
        <v>4000</v>
      </c>
      <c r="F24" t="s">
        <v>94</v>
      </c>
      <c r="G24" t="s">
        <v>95</v>
      </c>
      <c r="H24" t="s">
        <v>96</v>
      </c>
      <c r="I24" t="s">
        <v>322</v>
      </c>
      <c r="J24" t="s">
        <v>176</v>
      </c>
      <c r="K24" s="6">
        <f t="shared" si="0"/>
        <v>40165.621875600002</v>
      </c>
      <c r="L24" t="s">
        <v>99</v>
      </c>
      <c r="M24" t="s">
        <v>100</v>
      </c>
      <c r="N24" t="s">
        <v>323</v>
      </c>
      <c r="O24" t="s">
        <v>96</v>
      </c>
      <c r="P24" t="s">
        <v>96</v>
      </c>
      <c r="Q24" t="s">
        <v>324</v>
      </c>
      <c r="R24" t="s">
        <v>96</v>
      </c>
      <c r="S24" t="s">
        <v>104</v>
      </c>
      <c r="T24">
        <v>0</v>
      </c>
      <c r="U24">
        <v>30</v>
      </c>
      <c r="V24">
        <v>30</v>
      </c>
      <c r="W24" t="s">
        <v>105</v>
      </c>
      <c r="X24" t="s">
        <v>106</v>
      </c>
      <c r="Y24" t="s">
        <v>107</v>
      </c>
      <c r="Z24" t="s">
        <v>108</v>
      </c>
      <c r="AA24">
        <v>420</v>
      </c>
      <c r="AB24">
        <v>435</v>
      </c>
      <c r="AC24" t="s">
        <v>109</v>
      </c>
      <c r="AD24" t="s">
        <v>207</v>
      </c>
      <c r="AE24" s="3">
        <v>870323190000</v>
      </c>
      <c r="AF24" t="s">
        <v>194</v>
      </c>
      <c r="AG24" t="s">
        <v>325</v>
      </c>
      <c r="AH24" t="s">
        <v>195</v>
      </c>
      <c r="AI24">
        <v>14</v>
      </c>
      <c r="AJ24">
        <v>140</v>
      </c>
      <c r="AK24">
        <v>145</v>
      </c>
      <c r="AL24" t="s">
        <v>113</v>
      </c>
      <c r="AM24" s="6">
        <v>7756.62</v>
      </c>
      <c r="AN24" s="6">
        <v>20961.73</v>
      </c>
      <c r="AO24" s="6">
        <f t="shared" si="1"/>
        <v>775.66200000000003</v>
      </c>
      <c r="AP24" s="6">
        <f t="shared" si="2"/>
        <v>232.6986</v>
      </c>
      <c r="AQ24" s="6">
        <f t="shared" si="3"/>
        <v>8764.980599999999</v>
      </c>
      <c r="AR24">
        <v>602</v>
      </c>
      <c r="AS24" s="6">
        <f>AQ24*1.1</f>
        <v>9641.4786599999989</v>
      </c>
      <c r="AT24" s="6">
        <f>AS24*1.8</f>
        <v>17354.661587999999</v>
      </c>
      <c r="AU24" s="6">
        <f>AT24*1.2</f>
        <v>20825.593905599999</v>
      </c>
      <c r="AV24" s="6">
        <f t="shared" si="15"/>
        <v>12060.6133056</v>
      </c>
      <c r="AW24" s="6">
        <f t="shared" si="16"/>
        <v>20825.593905599999</v>
      </c>
      <c r="AX24" t="s">
        <v>118</v>
      </c>
      <c r="AY24" t="s">
        <v>326</v>
      </c>
      <c r="AZ24" s="3">
        <v>842720000000</v>
      </c>
      <c r="BA24" t="s">
        <v>197</v>
      </c>
      <c r="BB24" t="s">
        <v>325</v>
      </c>
      <c r="BC24" t="s">
        <v>195</v>
      </c>
      <c r="BD24">
        <v>19</v>
      </c>
      <c r="BE24">
        <v>140</v>
      </c>
      <c r="BF24">
        <v>145</v>
      </c>
      <c r="BG24" t="s">
        <v>113</v>
      </c>
      <c r="BH24" s="6">
        <v>5261.27</v>
      </c>
      <c r="BI24" s="6">
        <v>20961.73</v>
      </c>
      <c r="BJ24" s="6">
        <f t="shared" si="4"/>
        <v>526.12700000000007</v>
      </c>
      <c r="BK24" s="6">
        <f t="shared" si="5"/>
        <v>157.8381</v>
      </c>
      <c r="BL24" s="6">
        <f t="shared" si="6"/>
        <v>5945.2351000000008</v>
      </c>
      <c r="BM24" s="6">
        <v>501</v>
      </c>
      <c r="BN24" s="6">
        <f>BL24*1.05</f>
        <v>6242.4968550000012</v>
      </c>
      <c r="BO24" s="6">
        <v>0</v>
      </c>
      <c r="BP24" s="6">
        <f>BN24*1.2</f>
        <v>7490.9962260000011</v>
      </c>
      <c r="BQ24" s="6">
        <f t="shared" si="7"/>
        <v>1545.7611260000003</v>
      </c>
      <c r="BR24" s="6">
        <f t="shared" si="8"/>
        <v>7490.9962260000011</v>
      </c>
      <c r="BS24" t="s">
        <v>118</v>
      </c>
      <c r="BT24" t="s">
        <v>327</v>
      </c>
      <c r="BU24" s="3">
        <v>640399930000</v>
      </c>
      <c r="BV24" t="s">
        <v>199</v>
      </c>
      <c r="BW24" t="s">
        <v>325</v>
      </c>
      <c r="BX24" t="s">
        <v>112</v>
      </c>
      <c r="BY24">
        <v>11</v>
      </c>
      <c r="BZ24">
        <v>140</v>
      </c>
      <c r="CA24">
        <v>145</v>
      </c>
      <c r="CB24" t="s">
        <v>113</v>
      </c>
      <c r="CC24" s="6">
        <v>7943.84</v>
      </c>
      <c r="CD24" s="6">
        <v>20961.73</v>
      </c>
      <c r="CE24" s="6">
        <f t="shared" si="9"/>
        <v>794.38400000000001</v>
      </c>
      <c r="CF24" s="6">
        <f t="shared" si="10"/>
        <v>238.3152</v>
      </c>
      <c r="CG24" s="6">
        <f t="shared" si="11"/>
        <v>8976.5391999999993</v>
      </c>
      <c r="CH24" s="6">
        <v>101</v>
      </c>
      <c r="CI24" s="6">
        <f>CG24*1.1</f>
        <v>9874.1931199999999</v>
      </c>
      <c r="CJ24" s="6">
        <v>0</v>
      </c>
      <c r="CK24" s="6">
        <f>CI24*1.2</f>
        <v>11849.031744</v>
      </c>
      <c r="CL24" s="6">
        <f t="shared" si="12"/>
        <v>2872.4925440000006</v>
      </c>
      <c r="CM24" s="6">
        <f t="shared" si="13"/>
        <v>11849.031744</v>
      </c>
      <c r="CN24" t="s">
        <v>118</v>
      </c>
      <c r="CO24" t="s">
        <v>328</v>
      </c>
      <c r="CP24">
        <f t="shared" ca="1" si="14"/>
        <v>0.66028066377421957</v>
      </c>
    </row>
    <row r="25" spans="1:94" x14ac:dyDescent="0.35">
      <c r="A25">
        <v>1222603030</v>
      </c>
      <c r="B25" t="s">
        <v>348</v>
      </c>
      <c r="C25" t="s">
        <v>381</v>
      </c>
      <c r="D25" t="s">
        <v>93</v>
      </c>
      <c r="E25">
        <v>4000</v>
      </c>
      <c r="F25" t="s">
        <v>94</v>
      </c>
      <c r="G25" t="s">
        <v>95</v>
      </c>
      <c r="H25" t="s">
        <v>96</v>
      </c>
      <c r="I25" t="s">
        <v>162</v>
      </c>
      <c r="J25" t="s">
        <v>98</v>
      </c>
      <c r="K25" s="6">
        <f t="shared" si="0"/>
        <v>2334.2859740000004</v>
      </c>
      <c r="L25" t="s">
        <v>99</v>
      </c>
      <c r="M25" t="s">
        <v>100</v>
      </c>
      <c r="N25" t="s">
        <v>163</v>
      </c>
      <c r="O25" t="s">
        <v>96</v>
      </c>
      <c r="P25" t="s">
        <v>96</v>
      </c>
      <c r="Q25" t="s">
        <v>382</v>
      </c>
      <c r="R25" t="s">
        <v>165</v>
      </c>
      <c r="S25" t="s">
        <v>104</v>
      </c>
      <c r="T25">
        <v>0</v>
      </c>
      <c r="U25">
        <v>30</v>
      </c>
      <c r="V25">
        <v>30</v>
      </c>
      <c r="W25" t="s">
        <v>105</v>
      </c>
      <c r="X25" t="s">
        <v>106</v>
      </c>
      <c r="Y25" t="s">
        <v>107</v>
      </c>
      <c r="Z25" t="s">
        <v>108</v>
      </c>
      <c r="AA25">
        <v>468</v>
      </c>
      <c r="AB25">
        <v>483</v>
      </c>
      <c r="AC25" t="s">
        <v>109</v>
      </c>
      <c r="AD25" t="s">
        <v>110</v>
      </c>
      <c r="AE25" s="3">
        <v>190531990000</v>
      </c>
      <c r="AF25" t="s">
        <v>111</v>
      </c>
      <c r="AG25" t="s">
        <v>165</v>
      </c>
      <c r="AH25" t="s">
        <v>112</v>
      </c>
      <c r="AI25">
        <v>14</v>
      </c>
      <c r="AJ25">
        <v>156</v>
      </c>
      <c r="AK25">
        <v>161</v>
      </c>
      <c r="AL25" t="s">
        <v>113</v>
      </c>
      <c r="AM25" s="6">
        <v>658.59</v>
      </c>
      <c r="AN25" s="6">
        <f>AM25*1.08</f>
        <v>711.27720000000011</v>
      </c>
      <c r="AO25" s="6">
        <f t="shared" si="1"/>
        <v>65.859000000000009</v>
      </c>
      <c r="AP25" s="6">
        <f t="shared" si="2"/>
        <v>19.7577</v>
      </c>
      <c r="AQ25" s="6">
        <f t="shared" si="3"/>
        <v>744.20670000000007</v>
      </c>
      <c r="AR25">
        <v>501</v>
      </c>
      <c r="AS25" s="6">
        <v>0</v>
      </c>
      <c r="AT25" s="6">
        <v>0</v>
      </c>
      <c r="AU25" s="6">
        <f>AQ25*1.2</f>
        <v>893.04804000000001</v>
      </c>
      <c r="AV25" s="6">
        <f t="shared" si="15"/>
        <v>148.84133999999995</v>
      </c>
      <c r="AW25" s="6">
        <f t="shared" si="16"/>
        <v>893.04804000000001</v>
      </c>
      <c r="AX25" t="s">
        <v>114</v>
      </c>
      <c r="AY25" t="s">
        <v>383</v>
      </c>
      <c r="AZ25" s="3">
        <v>804100000000</v>
      </c>
      <c r="BA25" t="s">
        <v>116</v>
      </c>
      <c r="BB25" t="s">
        <v>165</v>
      </c>
      <c r="BC25" t="s">
        <v>117</v>
      </c>
      <c r="BD25">
        <v>13</v>
      </c>
      <c r="BE25">
        <v>156</v>
      </c>
      <c r="BF25">
        <v>161</v>
      </c>
      <c r="BG25" t="s">
        <v>113</v>
      </c>
      <c r="BH25" s="6">
        <v>560.57000000000005</v>
      </c>
      <c r="BI25" s="6">
        <f>BH25*1.08</f>
        <v>605.41560000000004</v>
      </c>
      <c r="BJ25" s="6">
        <f t="shared" si="4"/>
        <v>56.057000000000009</v>
      </c>
      <c r="BK25" s="6">
        <f t="shared" si="5"/>
        <v>16.8171</v>
      </c>
      <c r="BL25" s="6">
        <f t="shared" si="6"/>
        <v>633.44410000000005</v>
      </c>
      <c r="BM25" s="6">
        <v>501</v>
      </c>
      <c r="BN25" s="6">
        <v>0</v>
      </c>
      <c r="BO25" s="6">
        <v>0</v>
      </c>
      <c r="BP25" s="6">
        <f>BL25*1.2</f>
        <v>760.13292000000001</v>
      </c>
      <c r="BQ25" s="6">
        <f t="shared" si="7"/>
        <v>126.68881999999996</v>
      </c>
      <c r="BR25" s="6">
        <f t="shared" si="8"/>
        <v>760.13292000000001</v>
      </c>
      <c r="BS25" t="s">
        <v>118</v>
      </c>
      <c r="BT25" t="s">
        <v>384</v>
      </c>
      <c r="BU25" s="3">
        <v>100199000000</v>
      </c>
      <c r="BV25" t="s">
        <v>120</v>
      </c>
      <c r="BW25" t="s">
        <v>165</v>
      </c>
      <c r="BX25" t="s">
        <v>117</v>
      </c>
      <c r="BY25">
        <v>18</v>
      </c>
      <c r="BZ25">
        <v>156</v>
      </c>
      <c r="CA25">
        <v>161</v>
      </c>
      <c r="CB25" t="s">
        <v>113</v>
      </c>
      <c r="CC25" s="6">
        <v>596.78</v>
      </c>
      <c r="CD25" s="6">
        <f>CC25*1.08</f>
        <v>644.52240000000006</v>
      </c>
      <c r="CE25" s="6">
        <f t="shared" si="9"/>
        <v>59.677999999999997</v>
      </c>
      <c r="CF25" s="6">
        <f t="shared" si="10"/>
        <v>17.903399999999998</v>
      </c>
      <c r="CG25" s="6">
        <f t="shared" si="11"/>
        <v>674.3614</v>
      </c>
      <c r="CH25" s="6">
        <v>501</v>
      </c>
      <c r="CI25" s="6">
        <v>0</v>
      </c>
      <c r="CJ25" s="6">
        <v>0</v>
      </c>
      <c r="CK25" s="6">
        <f>CG25*1.01</f>
        <v>681.10501399999998</v>
      </c>
      <c r="CL25" s="6">
        <f t="shared" si="12"/>
        <v>6.7436139999999796</v>
      </c>
      <c r="CM25" s="6">
        <f t="shared" si="13"/>
        <v>681.10501399999998</v>
      </c>
      <c r="CN25" t="s">
        <v>118</v>
      </c>
      <c r="CO25" t="s">
        <v>385</v>
      </c>
      <c r="CP25">
        <f t="shared" ca="1" si="14"/>
        <v>0.77358150159783323</v>
      </c>
    </row>
    <row r="26" spans="1:94" x14ac:dyDescent="0.35">
      <c r="A26">
        <v>1222603031</v>
      </c>
      <c r="B26" t="s">
        <v>356</v>
      </c>
      <c r="C26" t="s">
        <v>460</v>
      </c>
      <c r="D26" t="s">
        <v>93</v>
      </c>
      <c r="E26">
        <v>4000</v>
      </c>
      <c r="F26" t="s">
        <v>94</v>
      </c>
      <c r="G26" t="s">
        <v>95</v>
      </c>
      <c r="H26" t="s">
        <v>96</v>
      </c>
      <c r="I26" t="s">
        <v>294</v>
      </c>
      <c r="J26" t="s">
        <v>176</v>
      </c>
      <c r="K26" s="6">
        <f t="shared" si="0"/>
        <v>36037.188752400005</v>
      </c>
      <c r="L26" t="s">
        <v>99</v>
      </c>
      <c r="M26" t="s">
        <v>100</v>
      </c>
      <c r="N26" t="s">
        <v>295</v>
      </c>
      <c r="O26" t="s">
        <v>96</v>
      </c>
      <c r="P26" t="s">
        <v>96</v>
      </c>
      <c r="Q26" t="s">
        <v>461</v>
      </c>
      <c r="R26" t="s">
        <v>297</v>
      </c>
      <c r="S26" t="s">
        <v>104</v>
      </c>
      <c r="T26">
        <v>0</v>
      </c>
      <c r="U26">
        <v>30</v>
      </c>
      <c r="V26">
        <v>30</v>
      </c>
      <c r="W26" t="s">
        <v>105</v>
      </c>
      <c r="X26" t="s">
        <v>106</v>
      </c>
      <c r="Y26" t="s">
        <v>107</v>
      </c>
      <c r="Z26" t="s">
        <v>108</v>
      </c>
      <c r="AA26">
        <v>546</v>
      </c>
      <c r="AB26">
        <v>561</v>
      </c>
      <c r="AC26" t="s">
        <v>109</v>
      </c>
      <c r="AD26" t="s">
        <v>128</v>
      </c>
      <c r="AE26" s="3">
        <v>870323190000</v>
      </c>
      <c r="AF26" t="s">
        <v>194</v>
      </c>
      <c r="AG26" t="s">
        <v>297</v>
      </c>
      <c r="AH26" t="s">
        <v>195</v>
      </c>
      <c r="AI26">
        <v>6</v>
      </c>
      <c r="AJ26">
        <v>182</v>
      </c>
      <c r="AK26">
        <v>187</v>
      </c>
      <c r="AL26" t="s">
        <v>113</v>
      </c>
      <c r="AM26" s="6">
        <v>6839.68</v>
      </c>
      <c r="AN26" s="6">
        <v>19004.52</v>
      </c>
      <c r="AO26" s="6">
        <f t="shared" si="1"/>
        <v>683.96800000000007</v>
      </c>
      <c r="AP26" s="6">
        <f t="shared" si="2"/>
        <v>205.19040000000001</v>
      </c>
      <c r="AQ26" s="6">
        <f t="shared" si="3"/>
        <v>7728.8384000000005</v>
      </c>
      <c r="AR26">
        <v>602</v>
      </c>
      <c r="AS26" s="6">
        <f>AQ26*1.1</f>
        <v>8501.722240000001</v>
      </c>
      <c r="AT26" s="6">
        <f>AS26*1.8</f>
        <v>15303.100032000002</v>
      </c>
      <c r="AU26" s="6">
        <f>AT26*1.2</f>
        <v>18363.720038400003</v>
      </c>
      <c r="AV26" s="6">
        <f t="shared" si="15"/>
        <v>10634.881638400002</v>
      </c>
      <c r="AW26" s="6">
        <f t="shared" si="16"/>
        <v>18363.720038400003</v>
      </c>
      <c r="AX26" t="s">
        <v>118</v>
      </c>
      <c r="AY26" t="s">
        <v>462</v>
      </c>
      <c r="AZ26" s="3">
        <v>842720000000</v>
      </c>
      <c r="BA26" t="s">
        <v>197</v>
      </c>
      <c r="BB26" t="s">
        <v>297</v>
      </c>
      <c r="BC26" t="s">
        <v>195</v>
      </c>
      <c r="BD26">
        <v>20</v>
      </c>
      <c r="BE26">
        <v>182</v>
      </c>
      <c r="BF26">
        <v>187</v>
      </c>
      <c r="BG26" t="s">
        <v>113</v>
      </c>
      <c r="BH26" s="6">
        <v>6955.85</v>
      </c>
      <c r="BI26" s="6">
        <v>19004.52</v>
      </c>
      <c r="BJ26" s="6">
        <f t="shared" si="4"/>
        <v>695.58500000000004</v>
      </c>
      <c r="BK26" s="6">
        <f t="shared" si="5"/>
        <v>208.6755</v>
      </c>
      <c r="BL26" s="6">
        <f t="shared" si="6"/>
        <v>7860.1105000000007</v>
      </c>
      <c r="BM26" s="6">
        <v>501</v>
      </c>
      <c r="BN26" s="6">
        <f>BL26*1.05</f>
        <v>8253.1160250000012</v>
      </c>
      <c r="BO26" s="6">
        <v>0</v>
      </c>
      <c r="BP26" s="6">
        <f>BN26*1.2</f>
        <v>9903.739230000001</v>
      </c>
      <c r="BQ26" s="6">
        <f t="shared" si="7"/>
        <v>2043.6287300000004</v>
      </c>
      <c r="BR26" s="6">
        <f t="shared" si="8"/>
        <v>9903.739230000001</v>
      </c>
      <c r="BS26" t="s">
        <v>118</v>
      </c>
      <c r="BT26" t="s">
        <v>463</v>
      </c>
      <c r="BU26" s="3">
        <v>640399930000</v>
      </c>
      <c r="BV26" t="s">
        <v>199</v>
      </c>
      <c r="BW26" t="s">
        <v>297</v>
      </c>
      <c r="BX26" t="s">
        <v>112</v>
      </c>
      <c r="BY26">
        <v>10</v>
      </c>
      <c r="BZ26">
        <v>182</v>
      </c>
      <c r="CA26">
        <v>187</v>
      </c>
      <c r="CB26" t="s">
        <v>113</v>
      </c>
      <c r="CC26" s="6">
        <v>5208.99</v>
      </c>
      <c r="CD26" s="6">
        <v>19004.52</v>
      </c>
      <c r="CE26" s="6">
        <f t="shared" si="9"/>
        <v>520.899</v>
      </c>
      <c r="CF26" s="6">
        <f t="shared" si="10"/>
        <v>156.2697</v>
      </c>
      <c r="CG26" s="6">
        <f t="shared" si="11"/>
        <v>5886.1587</v>
      </c>
      <c r="CH26" s="6">
        <v>101</v>
      </c>
      <c r="CI26" s="6">
        <f>CG26*1.1</f>
        <v>6474.7745700000005</v>
      </c>
      <c r="CJ26" s="6">
        <v>0</v>
      </c>
      <c r="CK26" s="6">
        <f>CI26*1.2</f>
        <v>7769.7294840000004</v>
      </c>
      <c r="CL26" s="6">
        <f t="shared" si="12"/>
        <v>1883.5707840000005</v>
      </c>
      <c r="CM26" s="6">
        <f t="shared" si="13"/>
        <v>7769.7294840000004</v>
      </c>
      <c r="CN26" t="s">
        <v>118</v>
      </c>
      <c r="CO26" t="s">
        <v>464</v>
      </c>
      <c r="CP26">
        <f t="shared" ca="1" si="14"/>
        <v>0.83647823918299302</v>
      </c>
    </row>
    <row r="27" spans="1:94" x14ac:dyDescent="0.35">
      <c r="A27">
        <v>1222603032</v>
      </c>
      <c r="B27" t="s">
        <v>362</v>
      </c>
      <c r="C27" t="s">
        <v>123</v>
      </c>
      <c r="D27" t="s">
        <v>93</v>
      </c>
      <c r="E27">
        <v>4000</v>
      </c>
      <c r="F27" t="s">
        <v>94</v>
      </c>
      <c r="G27" t="s">
        <v>95</v>
      </c>
      <c r="H27" t="s">
        <v>96</v>
      </c>
      <c r="I27" t="s">
        <v>124</v>
      </c>
      <c r="J27" t="s">
        <v>98</v>
      </c>
      <c r="K27" s="6">
        <f t="shared" si="0"/>
        <v>3585.9439661999995</v>
      </c>
      <c r="L27" t="s">
        <v>99</v>
      </c>
      <c r="M27" t="s">
        <v>100</v>
      </c>
      <c r="N27" t="s">
        <v>125</v>
      </c>
      <c r="O27" t="s">
        <v>96</v>
      </c>
      <c r="P27" t="s">
        <v>96</v>
      </c>
      <c r="Q27" t="s">
        <v>126</v>
      </c>
      <c r="R27" t="s">
        <v>127</v>
      </c>
      <c r="S27" t="s">
        <v>104</v>
      </c>
      <c r="T27">
        <v>0</v>
      </c>
      <c r="U27">
        <v>30</v>
      </c>
      <c r="V27">
        <v>30</v>
      </c>
      <c r="W27" t="s">
        <v>105</v>
      </c>
      <c r="X27" t="s">
        <v>106</v>
      </c>
      <c r="Y27" t="s">
        <v>107</v>
      </c>
      <c r="Z27" t="s">
        <v>108</v>
      </c>
      <c r="AA27">
        <v>306</v>
      </c>
      <c r="AB27">
        <v>321</v>
      </c>
      <c r="AC27" t="s">
        <v>109</v>
      </c>
      <c r="AD27" t="s">
        <v>128</v>
      </c>
      <c r="AE27" s="3">
        <v>292241000000</v>
      </c>
      <c r="AF27" t="s">
        <v>129</v>
      </c>
      <c r="AG27" t="s">
        <v>127</v>
      </c>
      <c r="AH27" t="s">
        <v>112</v>
      </c>
      <c r="AI27">
        <v>9</v>
      </c>
      <c r="AJ27">
        <v>102</v>
      </c>
      <c r="AK27">
        <v>107</v>
      </c>
      <c r="AL27" t="s">
        <v>113</v>
      </c>
      <c r="AM27" s="6">
        <v>870.48</v>
      </c>
      <c r="AN27" s="6">
        <f>AM27*1.08</f>
        <v>940.11840000000007</v>
      </c>
      <c r="AO27" s="6">
        <f t="shared" si="1"/>
        <v>87.048000000000002</v>
      </c>
      <c r="AP27" s="6">
        <f t="shared" si="2"/>
        <v>26.1144</v>
      </c>
      <c r="AQ27" s="6">
        <f t="shared" si="3"/>
        <v>983.64240000000007</v>
      </c>
      <c r="AR27">
        <v>501</v>
      </c>
      <c r="AS27" s="6">
        <v>0</v>
      </c>
      <c r="AT27" s="6">
        <v>0</v>
      </c>
      <c r="AU27" s="6">
        <f>AQ27*1.2</f>
        <v>1180.3708799999999</v>
      </c>
      <c r="AV27" s="6">
        <f t="shared" si="15"/>
        <v>196.72847999999988</v>
      </c>
      <c r="AW27" s="6">
        <f t="shared" si="16"/>
        <v>1180.3708799999999</v>
      </c>
      <c r="AX27" t="s">
        <v>114</v>
      </c>
      <c r="AY27" t="s">
        <v>130</v>
      </c>
      <c r="AZ27" s="3">
        <v>390110900000</v>
      </c>
      <c r="BA27" t="s">
        <v>131</v>
      </c>
      <c r="BB27" t="s">
        <v>127</v>
      </c>
      <c r="BC27" t="s">
        <v>117</v>
      </c>
      <c r="BD27">
        <v>7</v>
      </c>
      <c r="BE27">
        <v>102</v>
      </c>
      <c r="BF27">
        <v>107</v>
      </c>
      <c r="BG27" t="s">
        <v>113</v>
      </c>
      <c r="BH27" s="6">
        <v>806.33</v>
      </c>
      <c r="BI27" s="6">
        <f>BH27*1.08</f>
        <v>870.83640000000014</v>
      </c>
      <c r="BJ27" s="6">
        <f t="shared" si="4"/>
        <v>80.63300000000001</v>
      </c>
      <c r="BK27" s="6">
        <f t="shared" si="5"/>
        <v>24.189900000000002</v>
      </c>
      <c r="BL27" s="6">
        <f t="shared" si="6"/>
        <v>911.15290000000005</v>
      </c>
      <c r="BM27" s="6">
        <v>501</v>
      </c>
      <c r="BN27" s="6">
        <f>BL27*1.065</f>
        <v>970.37783850000005</v>
      </c>
      <c r="BO27" s="6">
        <v>0</v>
      </c>
      <c r="BP27" s="6">
        <f>BN27*1.2</f>
        <v>1164.4534062</v>
      </c>
      <c r="BQ27" s="6">
        <f t="shared" si="7"/>
        <v>253.30050619999997</v>
      </c>
      <c r="BR27" s="6">
        <f t="shared" si="8"/>
        <v>1164.4534062</v>
      </c>
      <c r="BS27" t="s">
        <v>114</v>
      </c>
      <c r="BT27" t="s">
        <v>132</v>
      </c>
      <c r="BU27" s="3">
        <v>310210100000</v>
      </c>
      <c r="BV27" t="s">
        <v>133</v>
      </c>
      <c r="BW27" t="s">
        <v>127</v>
      </c>
      <c r="BX27" t="s">
        <v>117</v>
      </c>
      <c r="BY27">
        <v>16</v>
      </c>
      <c r="BZ27">
        <v>102</v>
      </c>
      <c r="CA27">
        <v>107</v>
      </c>
      <c r="CB27" t="s">
        <v>113</v>
      </c>
      <c r="CC27" s="6">
        <v>915.28</v>
      </c>
      <c r="CD27" s="6">
        <f>CC27*1.08</f>
        <v>988.50240000000008</v>
      </c>
      <c r="CE27" s="6">
        <f t="shared" si="9"/>
        <v>91.528000000000006</v>
      </c>
      <c r="CF27" s="6">
        <f t="shared" si="10"/>
        <v>27.458399999999997</v>
      </c>
      <c r="CG27" s="6">
        <f t="shared" si="11"/>
        <v>1034.2664</v>
      </c>
      <c r="CH27" s="6">
        <v>501</v>
      </c>
      <c r="CI27" s="6">
        <v>0</v>
      </c>
      <c r="CJ27" s="6">
        <v>0</v>
      </c>
      <c r="CK27" s="6">
        <f>CG27*1.2</f>
        <v>1241.11968</v>
      </c>
      <c r="CL27" s="6">
        <f t="shared" si="12"/>
        <v>206.85328000000004</v>
      </c>
      <c r="CM27" s="6">
        <f t="shared" si="13"/>
        <v>1241.11968</v>
      </c>
      <c r="CN27" t="s">
        <v>114</v>
      </c>
      <c r="CO27" t="s">
        <v>134</v>
      </c>
      <c r="CP27">
        <f t="shared" ca="1" si="14"/>
        <v>0.65363649645854471</v>
      </c>
    </row>
    <row r="28" spans="1:94" x14ac:dyDescent="0.35">
      <c r="A28">
        <v>1222603033</v>
      </c>
      <c r="B28" t="s">
        <v>368</v>
      </c>
      <c r="C28" t="s">
        <v>92</v>
      </c>
      <c r="D28" t="s">
        <v>93</v>
      </c>
      <c r="E28">
        <v>4000</v>
      </c>
      <c r="F28" t="s">
        <v>94</v>
      </c>
      <c r="G28" t="s">
        <v>95</v>
      </c>
      <c r="H28" t="s">
        <v>96</v>
      </c>
      <c r="I28" t="s">
        <v>97</v>
      </c>
      <c r="J28" t="s">
        <v>98</v>
      </c>
      <c r="K28" s="6">
        <f t="shared" si="0"/>
        <v>2384.0751299999997</v>
      </c>
      <c r="L28" t="s">
        <v>99</v>
      </c>
      <c r="M28" t="s">
        <v>100</v>
      </c>
      <c r="N28" t="s">
        <v>101</v>
      </c>
      <c r="O28" t="s">
        <v>96</v>
      </c>
      <c r="P28" t="s">
        <v>96</v>
      </c>
      <c r="Q28" t="s">
        <v>102</v>
      </c>
      <c r="R28" t="s">
        <v>103</v>
      </c>
      <c r="S28" t="s">
        <v>104</v>
      </c>
      <c r="T28">
        <v>0</v>
      </c>
      <c r="U28">
        <v>30</v>
      </c>
      <c r="V28">
        <v>30</v>
      </c>
      <c r="W28" t="s">
        <v>105</v>
      </c>
      <c r="X28" t="s">
        <v>106</v>
      </c>
      <c r="Y28" t="s">
        <v>107</v>
      </c>
      <c r="Z28" t="s">
        <v>108</v>
      </c>
      <c r="AA28">
        <v>300</v>
      </c>
      <c r="AB28">
        <v>315</v>
      </c>
      <c r="AC28" t="s">
        <v>109</v>
      </c>
      <c r="AD28" t="s">
        <v>110</v>
      </c>
      <c r="AE28" s="3">
        <v>190531990000</v>
      </c>
      <c r="AF28" t="s">
        <v>111</v>
      </c>
      <c r="AG28" t="s">
        <v>103</v>
      </c>
      <c r="AH28" t="s">
        <v>112</v>
      </c>
      <c r="AI28">
        <v>5</v>
      </c>
      <c r="AJ28">
        <v>100</v>
      </c>
      <c r="AK28">
        <v>105</v>
      </c>
      <c r="AL28" t="s">
        <v>113</v>
      </c>
      <c r="AM28" s="6">
        <v>647.74</v>
      </c>
      <c r="AN28" s="6">
        <f>AM28*1.08</f>
        <v>699.55920000000003</v>
      </c>
      <c r="AO28" s="6">
        <f t="shared" si="1"/>
        <v>64.774000000000001</v>
      </c>
      <c r="AP28" s="6">
        <f t="shared" si="2"/>
        <v>19.432199999999998</v>
      </c>
      <c r="AQ28" s="6">
        <f t="shared" si="3"/>
        <v>731.94619999999998</v>
      </c>
      <c r="AR28">
        <v>501</v>
      </c>
      <c r="AS28" s="6">
        <v>0</v>
      </c>
      <c r="AT28" s="6">
        <v>0</v>
      </c>
      <c r="AU28" s="6">
        <f>AQ28*1.2</f>
        <v>878.33543999999995</v>
      </c>
      <c r="AV28" s="6">
        <f t="shared" si="15"/>
        <v>146.38923999999997</v>
      </c>
      <c r="AW28" s="6">
        <f t="shared" si="16"/>
        <v>878.33543999999995</v>
      </c>
      <c r="AX28" t="s">
        <v>114</v>
      </c>
      <c r="AY28" t="s">
        <v>115</v>
      </c>
      <c r="AZ28" s="3">
        <v>804100000000</v>
      </c>
      <c r="BA28" t="s">
        <v>116</v>
      </c>
      <c r="BB28" t="s">
        <v>103</v>
      </c>
      <c r="BC28" t="s">
        <v>117</v>
      </c>
      <c r="BD28">
        <v>15</v>
      </c>
      <c r="BE28">
        <v>100</v>
      </c>
      <c r="BF28">
        <v>105</v>
      </c>
      <c r="BG28" t="s">
        <v>113</v>
      </c>
      <c r="BH28" s="6">
        <v>634.97</v>
      </c>
      <c r="BI28" s="6">
        <f>BH28*1.08</f>
        <v>685.76760000000013</v>
      </c>
      <c r="BJ28" s="6">
        <f t="shared" si="4"/>
        <v>63.497000000000007</v>
      </c>
      <c r="BK28" s="6">
        <f t="shared" si="5"/>
        <v>19.049099999999999</v>
      </c>
      <c r="BL28" s="6">
        <f t="shared" si="6"/>
        <v>717.51609999999994</v>
      </c>
      <c r="BM28" s="6">
        <v>501</v>
      </c>
      <c r="BN28" s="6">
        <v>0</v>
      </c>
      <c r="BO28" s="6">
        <v>0</v>
      </c>
      <c r="BP28" s="6">
        <f>BL28*1.2</f>
        <v>861.01931999999988</v>
      </c>
      <c r="BQ28" s="6">
        <f t="shared" si="7"/>
        <v>143.50321999999994</v>
      </c>
      <c r="BR28" s="6">
        <f t="shared" si="8"/>
        <v>861.01931999999988</v>
      </c>
      <c r="BS28" t="s">
        <v>118</v>
      </c>
      <c r="BT28" t="s">
        <v>119</v>
      </c>
      <c r="BU28" s="3">
        <v>100199000000</v>
      </c>
      <c r="BV28" t="s">
        <v>120</v>
      </c>
      <c r="BW28" t="s">
        <v>103</v>
      </c>
      <c r="BX28" t="s">
        <v>117</v>
      </c>
      <c r="BY28">
        <v>11</v>
      </c>
      <c r="BZ28">
        <v>100</v>
      </c>
      <c r="CA28">
        <v>105</v>
      </c>
      <c r="CB28" t="s">
        <v>113</v>
      </c>
      <c r="CC28" s="6">
        <v>564.9</v>
      </c>
      <c r="CD28" s="6">
        <f>CC28*1.08</f>
        <v>610.09199999999998</v>
      </c>
      <c r="CE28" s="6">
        <f t="shared" si="9"/>
        <v>56.49</v>
      </c>
      <c r="CF28" s="6">
        <f t="shared" si="10"/>
        <v>16.946999999999999</v>
      </c>
      <c r="CG28" s="6">
        <f t="shared" si="11"/>
        <v>638.33699999999999</v>
      </c>
      <c r="CH28" s="6">
        <v>501</v>
      </c>
      <c r="CI28" s="6">
        <v>0</v>
      </c>
      <c r="CJ28" s="6">
        <v>0</v>
      </c>
      <c r="CK28" s="6">
        <f>CG28*1.01</f>
        <v>644.72037</v>
      </c>
      <c r="CL28" s="6">
        <f t="shared" si="12"/>
        <v>6.3833700000000135</v>
      </c>
      <c r="CM28" s="6">
        <f t="shared" si="13"/>
        <v>644.72037</v>
      </c>
      <c r="CN28" t="s">
        <v>118</v>
      </c>
      <c r="CO28" t="s">
        <v>121</v>
      </c>
      <c r="CP28">
        <f t="shared" ca="1" si="14"/>
        <v>0.62308942180746485</v>
      </c>
    </row>
    <row r="29" spans="1:94" x14ac:dyDescent="0.35">
      <c r="A29">
        <v>1222603034</v>
      </c>
      <c r="B29" t="s">
        <v>374</v>
      </c>
      <c r="C29" t="s">
        <v>357</v>
      </c>
      <c r="D29" t="s">
        <v>93</v>
      </c>
      <c r="E29">
        <v>4000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s="6">
        <f t="shared" si="0"/>
        <v>7011.5573399999994</v>
      </c>
      <c r="L29" t="s">
        <v>99</v>
      </c>
      <c r="M29" t="s">
        <v>100</v>
      </c>
      <c r="N29" t="s">
        <v>101</v>
      </c>
      <c r="O29" t="s">
        <v>96</v>
      </c>
      <c r="P29" t="s">
        <v>96</v>
      </c>
      <c r="Q29" t="s">
        <v>358</v>
      </c>
      <c r="R29" t="s">
        <v>103</v>
      </c>
      <c r="S29" t="s">
        <v>104</v>
      </c>
      <c r="T29">
        <v>0</v>
      </c>
      <c r="U29">
        <v>30</v>
      </c>
      <c r="V29">
        <v>30</v>
      </c>
      <c r="W29" t="s">
        <v>105</v>
      </c>
      <c r="X29" t="s">
        <v>106</v>
      </c>
      <c r="Y29" t="s">
        <v>107</v>
      </c>
      <c r="Z29" t="s">
        <v>108</v>
      </c>
      <c r="AA29">
        <v>444</v>
      </c>
      <c r="AB29">
        <v>459</v>
      </c>
      <c r="AC29" t="s">
        <v>109</v>
      </c>
      <c r="AD29" t="s">
        <v>128</v>
      </c>
      <c r="AE29" s="3">
        <v>847130000000</v>
      </c>
      <c r="AF29" t="s">
        <v>154</v>
      </c>
      <c r="AG29" t="s">
        <v>103</v>
      </c>
      <c r="AH29" t="s">
        <v>112</v>
      </c>
      <c r="AI29">
        <v>10</v>
      </c>
      <c r="AJ29">
        <v>148</v>
      </c>
      <c r="AK29">
        <v>153</v>
      </c>
      <c r="AL29" t="s">
        <v>113</v>
      </c>
      <c r="AM29" s="6">
        <v>1824.02</v>
      </c>
      <c r="AN29" s="6">
        <f>AM29*1.08</f>
        <v>1969.9416000000001</v>
      </c>
      <c r="AO29" s="6">
        <f t="shared" si="1"/>
        <v>182.40200000000002</v>
      </c>
      <c r="AP29" s="6">
        <f t="shared" si="2"/>
        <v>54.720599999999997</v>
      </c>
      <c r="AQ29" s="6">
        <f t="shared" si="3"/>
        <v>2061.1426000000001</v>
      </c>
      <c r="AR29">
        <v>501</v>
      </c>
      <c r="AS29" s="6">
        <v>0</v>
      </c>
      <c r="AT29" s="6">
        <v>0</v>
      </c>
      <c r="AU29" s="6">
        <f>AQ29*1.2</f>
        <v>2473.3711200000002</v>
      </c>
      <c r="AV29" s="6">
        <f t="shared" si="15"/>
        <v>412.22852000000012</v>
      </c>
      <c r="AW29" s="6">
        <f t="shared" si="16"/>
        <v>2473.3711200000002</v>
      </c>
      <c r="AX29" t="s">
        <v>114</v>
      </c>
      <c r="AY29" t="s">
        <v>359</v>
      </c>
      <c r="AZ29" s="3">
        <v>851713000000</v>
      </c>
      <c r="BA29" t="s">
        <v>156</v>
      </c>
      <c r="BB29" t="s">
        <v>103</v>
      </c>
      <c r="BC29" t="s">
        <v>112</v>
      </c>
      <c r="BD29">
        <v>20</v>
      </c>
      <c r="BE29">
        <v>148</v>
      </c>
      <c r="BF29">
        <v>153</v>
      </c>
      <c r="BG29" t="s">
        <v>113</v>
      </c>
      <c r="BH29" s="6">
        <v>1278.51</v>
      </c>
      <c r="BI29" s="6">
        <f>BH29*1.08</f>
        <v>1380.7908</v>
      </c>
      <c r="BJ29" s="6">
        <f t="shared" si="4"/>
        <v>127.851</v>
      </c>
      <c r="BK29" s="6">
        <f t="shared" si="5"/>
        <v>38.3553</v>
      </c>
      <c r="BL29" s="6">
        <f t="shared" si="6"/>
        <v>1444.7162999999998</v>
      </c>
      <c r="BM29" s="6">
        <v>602</v>
      </c>
      <c r="BN29" s="6">
        <v>0</v>
      </c>
      <c r="BO29" s="6">
        <f>BL29*1.5</f>
        <v>2167.0744499999996</v>
      </c>
      <c r="BP29" s="6">
        <f>BO29*1.2</f>
        <v>2600.4893399999996</v>
      </c>
      <c r="BQ29" s="6">
        <f t="shared" si="7"/>
        <v>1155.7730399999998</v>
      </c>
      <c r="BR29" s="6">
        <f t="shared" si="8"/>
        <v>2600.4893399999996</v>
      </c>
      <c r="BS29" t="s">
        <v>114</v>
      </c>
      <c r="BT29" t="s">
        <v>360</v>
      </c>
      <c r="BU29" s="3">
        <v>701349100000</v>
      </c>
      <c r="BV29" t="s">
        <v>158</v>
      </c>
      <c r="BW29" t="s">
        <v>103</v>
      </c>
      <c r="BX29" t="s">
        <v>112</v>
      </c>
      <c r="BY29">
        <v>18</v>
      </c>
      <c r="BZ29">
        <v>148</v>
      </c>
      <c r="CA29">
        <v>153</v>
      </c>
      <c r="CB29" t="s">
        <v>113</v>
      </c>
      <c r="CC29" s="6">
        <v>1428.98</v>
      </c>
      <c r="CD29" s="6">
        <f>CC29*1.08</f>
        <v>1543.2984000000001</v>
      </c>
      <c r="CE29" s="6">
        <f t="shared" si="9"/>
        <v>142.898</v>
      </c>
      <c r="CF29" s="6">
        <f t="shared" si="10"/>
        <v>42.869399999999999</v>
      </c>
      <c r="CG29" s="6">
        <f t="shared" si="11"/>
        <v>1614.7474</v>
      </c>
      <c r="CH29" s="6">
        <v>501</v>
      </c>
      <c r="CI29" s="6">
        <v>0</v>
      </c>
      <c r="CJ29" s="6">
        <v>0</v>
      </c>
      <c r="CK29" s="6">
        <f>CG29*1.2</f>
        <v>1937.69688</v>
      </c>
      <c r="CL29" s="6">
        <f t="shared" si="12"/>
        <v>322.94947999999999</v>
      </c>
      <c r="CM29" s="6">
        <f t="shared" si="13"/>
        <v>1937.69688</v>
      </c>
      <c r="CN29" t="s">
        <v>114</v>
      </c>
      <c r="CO29" t="s">
        <v>361</v>
      </c>
      <c r="CP29">
        <f t="shared" ca="1" si="14"/>
        <v>0.78789663566133605</v>
      </c>
    </row>
    <row r="30" spans="1:94" x14ac:dyDescent="0.35">
      <c r="A30">
        <v>1222603035</v>
      </c>
      <c r="B30" t="s">
        <v>380</v>
      </c>
      <c r="C30" t="s">
        <v>430</v>
      </c>
      <c r="D30" t="s">
        <v>93</v>
      </c>
      <c r="E30">
        <v>4000</v>
      </c>
      <c r="F30" t="s">
        <v>94</v>
      </c>
      <c r="G30" t="s">
        <v>95</v>
      </c>
      <c r="H30" t="s">
        <v>96</v>
      </c>
      <c r="I30" t="s">
        <v>249</v>
      </c>
      <c r="J30" t="s">
        <v>176</v>
      </c>
      <c r="K30" s="6">
        <f t="shared" si="0"/>
        <v>4114.7267430000002</v>
      </c>
      <c r="L30" t="s">
        <v>99</v>
      </c>
      <c r="M30" t="s">
        <v>100</v>
      </c>
      <c r="N30" t="s">
        <v>250</v>
      </c>
      <c r="O30" t="s">
        <v>96</v>
      </c>
      <c r="P30" t="s">
        <v>96</v>
      </c>
      <c r="Q30" t="s">
        <v>431</v>
      </c>
      <c r="R30" t="s">
        <v>252</v>
      </c>
      <c r="S30" t="s">
        <v>104</v>
      </c>
      <c r="T30">
        <v>0</v>
      </c>
      <c r="U30">
        <v>30</v>
      </c>
      <c r="V30">
        <v>30</v>
      </c>
      <c r="W30" t="s">
        <v>105</v>
      </c>
      <c r="X30" t="s">
        <v>106</v>
      </c>
      <c r="Y30" t="s">
        <v>107</v>
      </c>
      <c r="Z30" t="s">
        <v>108</v>
      </c>
      <c r="AA30">
        <v>516</v>
      </c>
      <c r="AB30">
        <v>531</v>
      </c>
      <c r="AC30" t="s">
        <v>109</v>
      </c>
      <c r="AD30" t="s">
        <v>180</v>
      </c>
      <c r="AE30" s="3">
        <v>292241000000</v>
      </c>
      <c r="AF30" t="s">
        <v>129</v>
      </c>
      <c r="AG30" t="s">
        <v>252</v>
      </c>
      <c r="AH30" t="s">
        <v>112</v>
      </c>
      <c r="AI30">
        <v>12</v>
      </c>
      <c r="AJ30">
        <v>172</v>
      </c>
      <c r="AK30">
        <v>177</v>
      </c>
      <c r="AL30" t="s">
        <v>113</v>
      </c>
      <c r="AM30" s="6">
        <v>994.26</v>
      </c>
      <c r="AN30" s="6">
        <f>AM30*1.08</f>
        <v>1073.8008</v>
      </c>
      <c r="AO30" s="6">
        <f t="shared" si="1"/>
        <v>99.426000000000002</v>
      </c>
      <c r="AP30" s="6">
        <f t="shared" si="2"/>
        <v>29.8278</v>
      </c>
      <c r="AQ30" s="6">
        <f t="shared" si="3"/>
        <v>1123.5137999999999</v>
      </c>
      <c r="AR30">
        <v>501</v>
      </c>
      <c r="AS30" s="6">
        <f>AQ30*1.05</f>
        <v>1179.68949</v>
      </c>
      <c r="AT30" s="6">
        <v>0</v>
      </c>
      <c r="AU30" s="6">
        <f>AS30*1.2</f>
        <v>1415.6273879999999</v>
      </c>
      <c r="AV30" s="6">
        <f t="shared" si="15"/>
        <v>292.11358799999994</v>
      </c>
      <c r="AW30" s="6">
        <f t="shared" si="16"/>
        <v>1415.6273879999999</v>
      </c>
      <c r="AX30" t="s">
        <v>118</v>
      </c>
      <c r="AY30" t="s">
        <v>432</v>
      </c>
      <c r="AZ30" s="3">
        <v>390110900000</v>
      </c>
      <c r="BA30" t="s">
        <v>131</v>
      </c>
      <c r="BB30" t="s">
        <v>252</v>
      </c>
      <c r="BC30" t="s">
        <v>117</v>
      </c>
      <c r="BD30">
        <v>7</v>
      </c>
      <c r="BE30">
        <v>172</v>
      </c>
      <c r="BF30">
        <v>177</v>
      </c>
      <c r="BG30" t="s">
        <v>113</v>
      </c>
      <c r="BH30" s="6">
        <v>944.25</v>
      </c>
      <c r="BI30" s="6">
        <f>BH30*1.08</f>
        <v>1019.7900000000001</v>
      </c>
      <c r="BJ30" s="6">
        <f t="shared" si="4"/>
        <v>94.425000000000011</v>
      </c>
      <c r="BK30" s="6">
        <f t="shared" si="5"/>
        <v>28.327500000000001</v>
      </c>
      <c r="BL30" s="6">
        <f t="shared" si="6"/>
        <v>1067.0025000000001</v>
      </c>
      <c r="BM30" s="6">
        <v>501</v>
      </c>
      <c r="BN30" s="6">
        <f>BL30*1.065</f>
        <v>1136.3576625000001</v>
      </c>
      <c r="BO30" s="6">
        <v>0</v>
      </c>
      <c r="BP30" s="6">
        <f t="shared" ref="BP30:BP35" si="17">BN30*1.2</f>
        <v>1363.629195</v>
      </c>
      <c r="BQ30" s="6">
        <f t="shared" si="7"/>
        <v>296.62669499999993</v>
      </c>
      <c r="BR30" s="6">
        <f t="shared" si="8"/>
        <v>1363.629195</v>
      </c>
      <c r="BS30" t="s">
        <v>118</v>
      </c>
      <c r="BT30" t="s">
        <v>433</v>
      </c>
      <c r="BU30" s="3">
        <v>310210100000</v>
      </c>
      <c r="BV30" t="s">
        <v>133</v>
      </c>
      <c r="BW30" t="s">
        <v>252</v>
      </c>
      <c r="BX30" t="s">
        <v>117</v>
      </c>
      <c r="BY30">
        <v>20</v>
      </c>
      <c r="BZ30">
        <v>172</v>
      </c>
      <c r="CA30">
        <v>177</v>
      </c>
      <c r="CB30" t="s">
        <v>113</v>
      </c>
      <c r="CC30" s="6">
        <v>984.86</v>
      </c>
      <c r="CD30" s="6">
        <f>CC30*1.08</f>
        <v>1063.6488000000002</v>
      </c>
      <c r="CE30" s="6">
        <f t="shared" si="9"/>
        <v>98.486000000000004</v>
      </c>
      <c r="CF30" s="6">
        <f t="shared" si="10"/>
        <v>29.5458</v>
      </c>
      <c r="CG30" s="6">
        <f t="shared" si="11"/>
        <v>1112.8918000000001</v>
      </c>
      <c r="CH30" s="6">
        <v>501</v>
      </c>
      <c r="CI30" s="6">
        <v>0</v>
      </c>
      <c r="CJ30" s="6">
        <v>0</v>
      </c>
      <c r="CK30" s="6">
        <f>CG30*1.2</f>
        <v>1335.4701600000001</v>
      </c>
      <c r="CL30" s="6">
        <f t="shared" si="12"/>
        <v>222.57835999999998</v>
      </c>
      <c r="CM30" s="6">
        <f t="shared" si="13"/>
        <v>1335.4701600000001</v>
      </c>
      <c r="CN30" t="s">
        <v>118</v>
      </c>
      <c r="CO30" t="s">
        <v>434</v>
      </c>
      <c r="CP30">
        <f t="shared" ca="1" si="14"/>
        <v>0.67723992541474021</v>
      </c>
    </row>
    <row r="31" spans="1:94" x14ac:dyDescent="0.35">
      <c r="A31">
        <v>1222603036</v>
      </c>
      <c r="B31" t="s">
        <v>386</v>
      </c>
      <c r="C31" t="s">
        <v>312</v>
      </c>
      <c r="D31" t="s">
        <v>93</v>
      </c>
      <c r="E31">
        <v>4000</v>
      </c>
      <c r="F31" t="s">
        <v>94</v>
      </c>
      <c r="G31" t="s">
        <v>95</v>
      </c>
      <c r="H31" t="s">
        <v>96</v>
      </c>
      <c r="I31" t="s">
        <v>313</v>
      </c>
      <c r="J31" t="s">
        <v>176</v>
      </c>
      <c r="K31" s="6">
        <f t="shared" si="0"/>
        <v>4515.5464439999996</v>
      </c>
      <c r="L31" t="s">
        <v>99</v>
      </c>
      <c r="M31" t="s">
        <v>100</v>
      </c>
      <c r="N31" t="s">
        <v>314</v>
      </c>
      <c r="O31" t="s">
        <v>96</v>
      </c>
      <c r="P31" t="s">
        <v>96</v>
      </c>
      <c r="Q31" t="s">
        <v>315</v>
      </c>
      <c r="R31" t="s">
        <v>96</v>
      </c>
      <c r="S31" t="s">
        <v>104</v>
      </c>
      <c r="T31">
        <v>0</v>
      </c>
      <c r="U31">
        <v>30</v>
      </c>
      <c r="V31">
        <v>30</v>
      </c>
      <c r="W31" t="s">
        <v>105</v>
      </c>
      <c r="X31" t="s">
        <v>106</v>
      </c>
      <c r="Y31" t="s">
        <v>107</v>
      </c>
      <c r="Z31" t="s">
        <v>108</v>
      </c>
      <c r="AA31">
        <v>414</v>
      </c>
      <c r="AB31">
        <v>429</v>
      </c>
      <c r="AC31" t="s">
        <v>109</v>
      </c>
      <c r="AD31" t="s">
        <v>110</v>
      </c>
      <c r="AE31" s="3">
        <v>940360100000</v>
      </c>
      <c r="AF31" t="s">
        <v>181</v>
      </c>
      <c r="AG31" t="s">
        <v>316</v>
      </c>
      <c r="AH31" t="s">
        <v>182</v>
      </c>
      <c r="AI31">
        <v>16</v>
      </c>
      <c r="AJ31">
        <v>138</v>
      </c>
      <c r="AK31">
        <v>143</v>
      </c>
      <c r="AL31" t="s">
        <v>113</v>
      </c>
      <c r="AM31" s="6">
        <v>1000.42</v>
      </c>
      <c r="AN31" s="6">
        <v>3150.26</v>
      </c>
      <c r="AO31" s="6">
        <f t="shared" si="1"/>
        <v>100.042</v>
      </c>
      <c r="AP31" s="6">
        <f t="shared" si="2"/>
        <v>30.012599999999999</v>
      </c>
      <c r="AQ31" s="6">
        <f t="shared" si="3"/>
        <v>1130.4746</v>
      </c>
      <c r="AR31">
        <v>501</v>
      </c>
      <c r="AS31" s="6">
        <f>AQ31*1.05</f>
        <v>1186.9983300000001</v>
      </c>
      <c r="AT31" s="6">
        <v>0</v>
      </c>
      <c r="AU31" s="6">
        <f>AS31*1.2</f>
        <v>1424.3979960000001</v>
      </c>
      <c r="AV31" s="6">
        <f t="shared" si="15"/>
        <v>293.92339600000014</v>
      </c>
      <c r="AW31" s="6">
        <f t="shared" si="16"/>
        <v>1424.3979960000001</v>
      </c>
      <c r="AX31" t="s">
        <v>118</v>
      </c>
      <c r="AY31" t="s">
        <v>317</v>
      </c>
      <c r="AZ31" s="3">
        <v>440711100000</v>
      </c>
      <c r="BA31" t="s">
        <v>184</v>
      </c>
      <c r="BB31" t="s">
        <v>316</v>
      </c>
      <c r="BC31" t="s">
        <v>103</v>
      </c>
      <c r="BD31">
        <v>7</v>
      </c>
      <c r="BE31">
        <v>138</v>
      </c>
      <c r="BF31">
        <v>143</v>
      </c>
      <c r="BG31" t="s">
        <v>113</v>
      </c>
      <c r="BH31" s="6">
        <v>1055.48</v>
      </c>
      <c r="BI31" s="6">
        <v>3150.26</v>
      </c>
      <c r="BJ31" s="6">
        <f t="shared" si="4"/>
        <v>105.548</v>
      </c>
      <c r="BK31" s="6">
        <f t="shared" si="5"/>
        <v>31.664400000000001</v>
      </c>
      <c r="BL31" s="6">
        <f t="shared" si="6"/>
        <v>1192.6923999999999</v>
      </c>
      <c r="BM31" s="6">
        <v>501</v>
      </c>
      <c r="BN31" s="6">
        <f>BL31*1.04</f>
        <v>1240.4000959999998</v>
      </c>
      <c r="BO31" s="6">
        <v>0</v>
      </c>
      <c r="BP31" s="6">
        <f t="shared" si="17"/>
        <v>1488.4801151999998</v>
      </c>
      <c r="BQ31" s="6">
        <f t="shared" si="7"/>
        <v>295.78771519999987</v>
      </c>
      <c r="BR31" s="6">
        <f t="shared" si="8"/>
        <v>1488.4801151999998</v>
      </c>
      <c r="BS31" t="s">
        <v>118</v>
      </c>
      <c r="BT31" t="s">
        <v>318</v>
      </c>
      <c r="BU31" s="3">
        <v>690721000000</v>
      </c>
      <c r="BV31" t="s">
        <v>186</v>
      </c>
      <c r="BW31" t="s">
        <v>316</v>
      </c>
      <c r="BX31" t="s">
        <v>112</v>
      </c>
      <c r="BY31">
        <v>19</v>
      </c>
      <c r="BZ31">
        <v>138</v>
      </c>
      <c r="CA31">
        <v>143</v>
      </c>
      <c r="CB31" t="s">
        <v>113</v>
      </c>
      <c r="CC31" s="6">
        <v>1094.3599999999999</v>
      </c>
      <c r="CD31" s="6">
        <v>3150.26</v>
      </c>
      <c r="CE31" s="6">
        <f t="shared" si="9"/>
        <v>109.43599999999999</v>
      </c>
      <c r="CF31" s="6">
        <f t="shared" si="10"/>
        <v>32.830799999999996</v>
      </c>
      <c r="CG31" s="6">
        <f t="shared" si="11"/>
        <v>1236.6267999999998</v>
      </c>
      <c r="CH31" s="6">
        <v>501</v>
      </c>
      <c r="CI31" s="6">
        <f>CG31*1.08</f>
        <v>1335.5569439999999</v>
      </c>
      <c r="CJ31" s="6">
        <v>0</v>
      </c>
      <c r="CK31" s="6">
        <f>CI31*1.2</f>
        <v>1602.6683327999999</v>
      </c>
      <c r="CL31" s="6">
        <f t="shared" si="12"/>
        <v>366.04153280000014</v>
      </c>
      <c r="CM31" s="6">
        <f t="shared" si="13"/>
        <v>1602.6683327999999</v>
      </c>
      <c r="CN31" t="s">
        <v>118</v>
      </c>
      <c r="CO31" t="s">
        <v>319</v>
      </c>
      <c r="CP31">
        <f t="shared" ca="1" si="14"/>
        <v>0.4970477715797722</v>
      </c>
    </row>
    <row r="32" spans="1:94" x14ac:dyDescent="0.35">
      <c r="A32">
        <v>1222603037</v>
      </c>
      <c r="B32" t="s">
        <v>392</v>
      </c>
      <c r="C32" t="s">
        <v>212</v>
      </c>
      <c r="D32" t="s">
        <v>93</v>
      </c>
      <c r="E32">
        <v>4000</v>
      </c>
      <c r="F32" t="s">
        <v>94</v>
      </c>
      <c r="G32" t="s">
        <v>95</v>
      </c>
      <c r="H32" t="s">
        <v>96</v>
      </c>
      <c r="I32" t="s">
        <v>213</v>
      </c>
      <c r="J32" t="s">
        <v>98</v>
      </c>
      <c r="K32" s="6">
        <f t="shared" si="0"/>
        <v>3978.7528259999999</v>
      </c>
      <c r="L32" t="s">
        <v>99</v>
      </c>
      <c r="M32" t="s">
        <v>100</v>
      </c>
      <c r="N32" t="s">
        <v>214</v>
      </c>
      <c r="O32" t="s">
        <v>96</v>
      </c>
      <c r="P32" t="s">
        <v>96</v>
      </c>
      <c r="Q32" t="s">
        <v>215</v>
      </c>
      <c r="R32" t="s">
        <v>216</v>
      </c>
      <c r="S32" t="s">
        <v>104</v>
      </c>
      <c r="T32">
        <v>0</v>
      </c>
      <c r="U32">
        <v>30</v>
      </c>
      <c r="V32">
        <v>30</v>
      </c>
      <c r="W32" t="s">
        <v>105</v>
      </c>
      <c r="X32" t="s">
        <v>106</v>
      </c>
      <c r="Y32" t="s">
        <v>107</v>
      </c>
      <c r="Z32" t="s">
        <v>108</v>
      </c>
      <c r="AA32">
        <v>348</v>
      </c>
      <c r="AB32">
        <v>363</v>
      </c>
      <c r="AC32" t="s">
        <v>109</v>
      </c>
      <c r="AD32" t="s">
        <v>193</v>
      </c>
      <c r="AE32" s="3">
        <v>292241000000</v>
      </c>
      <c r="AF32" t="s">
        <v>129</v>
      </c>
      <c r="AG32" t="s">
        <v>216</v>
      </c>
      <c r="AH32" t="s">
        <v>112</v>
      </c>
      <c r="AI32">
        <v>19</v>
      </c>
      <c r="AJ32">
        <v>116</v>
      </c>
      <c r="AK32">
        <v>121</v>
      </c>
      <c r="AL32" t="s">
        <v>113</v>
      </c>
      <c r="AM32" s="6">
        <v>756.92</v>
      </c>
      <c r="AN32" s="6">
        <f>AM32*1.08</f>
        <v>817.47360000000003</v>
      </c>
      <c r="AO32" s="6">
        <f t="shared" si="1"/>
        <v>75.691999999999993</v>
      </c>
      <c r="AP32" s="6">
        <f t="shared" si="2"/>
        <v>22.707599999999999</v>
      </c>
      <c r="AQ32" s="6">
        <f t="shared" si="3"/>
        <v>855.31959999999992</v>
      </c>
      <c r="AR32">
        <v>501</v>
      </c>
      <c r="AS32" s="6">
        <v>0</v>
      </c>
      <c r="AT32" s="6">
        <v>0</v>
      </c>
      <c r="AU32" s="6">
        <f>AQ32*1.2</f>
        <v>1026.3835199999999</v>
      </c>
      <c r="AV32" s="6">
        <f t="shared" si="15"/>
        <v>171.06391999999994</v>
      </c>
      <c r="AW32" s="6">
        <f t="shared" si="16"/>
        <v>1026.3835199999999</v>
      </c>
      <c r="AX32" t="s">
        <v>114</v>
      </c>
      <c r="AY32" t="s">
        <v>217</v>
      </c>
      <c r="AZ32" s="3">
        <v>390110900000</v>
      </c>
      <c r="BA32" t="s">
        <v>131</v>
      </c>
      <c r="BB32" t="s">
        <v>216</v>
      </c>
      <c r="BC32" t="s">
        <v>117</v>
      </c>
      <c r="BD32">
        <v>6</v>
      </c>
      <c r="BE32">
        <v>116</v>
      </c>
      <c r="BF32">
        <v>121</v>
      </c>
      <c r="BG32" t="s">
        <v>113</v>
      </c>
      <c r="BH32" s="6">
        <v>977.9</v>
      </c>
      <c r="BI32" s="6">
        <f>BH32*1.08</f>
        <v>1056.1320000000001</v>
      </c>
      <c r="BJ32" s="6">
        <f t="shared" si="4"/>
        <v>97.79</v>
      </c>
      <c r="BK32" s="6">
        <f t="shared" si="5"/>
        <v>29.337</v>
      </c>
      <c r="BL32" s="6">
        <f t="shared" si="6"/>
        <v>1105.027</v>
      </c>
      <c r="BM32" s="6">
        <v>501</v>
      </c>
      <c r="BN32" s="6">
        <f>BL32*1.065</f>
        <v>1176.8537550000001</v>
      </c>
      <c r="BO32" s="6">
        <v>0</v>
      </c>
      <c r="BP32" s="6">
        <f t="shared" si="17"/>
        <v>1412.224506</v>
      </c>
      <c r="BQ32" s="6">
        <f t="shared" si="7"/>
        <v>307.19750599999998</v>
      </c>
      <c r="BR32" s="6">
        <f t="shared" si="8"/>
        <v>1412.224506</v>
      </c>
      <c r="BS32" t="s">
        <v>114</v>
      </c>
      <c r="BT32" t="s">
        <v>218</v>
      </c>
      <c r="BU32" s="3">
        <v>310210100000</v>
      </c>
      <c r="BV32" t="s">
        <v>133</v>
      </c>
      <c r="BW32" t="s">
        <v>216</v>
      </c>
      <c r="BX32" t="s">
        <v>117</v>
      </c>
      <c r="BY32">
        <v>10</v>
      </c>
      <c r="BZ32">
        <v>116</v>
      </c>
      <c r="CA32">
        <v>121</v>
      </c>
      <c r="CB32" t="s">
        <v>113</v>
      </c>
      <c r="CC32" s="6">
        <v>1135.8</v>
      </c>
      <c r="CD32" s="6">
        <f>CC32*1.08</f>
        <v>1226.664</v>
      </c>
      <c r="CE32" s="6">
        <f t="shared" si="9"/>
        <v>113.58</v>
      </c>
      <c r="CF32" s="6">
        <f t="shared" si="10"/>
        <v>34.073999999999998</v>
      </c>
      <c r="CG32" s="6">
        <f t="shared" si="11"/>
        <v>1283.454</v>
      </c>
      <c r="CH32" s="6">
        <v>501</v>
      </c>
      <c r="CI32" s="6">
        <v>0</v>
      </c>
      <c r="CJ32" s="6">
        <v>0</v>
      </c>
      <c r="CK32" s="6">
        <f>CG32*1.2</f>
        <v>1540.1447999999998</v>
      </c>
      <c r="CL32" s="6">
        <f t="shared" si="12"/>
        <v>256.69079999999985</v>
      </c>
      <c r="CM32" s="6">
        <f t="shared" si="13"/>
        <v>1540.1447999999998</v>
      </c>
      <c r="CN32" t="s">
        <v>114</v>
      </c>
      <c r="CO32" t="s">
        <v>219</v>
      </c>
      <c r="CP32">
        <f t="shared" ca="1" si="14"/>
        <v>0.89520439503975657</v>
      </c>
    </row>
    <row r="33" spans="1:96" x14ac:dyDescent="0.35">
      <c r="A33">
        <v>1222603038</v>
      </c>
      <c r="B33" t="s">
        <v>398</v>
      </c>
      <c r="C33" t="s">
        <v>491</v>
      </c>
      <c r="D33" t="s">
        <v>93</v>
      </c>
      <c r="E33">
        <v>4000</v>
      </c>
      <c r="F33" t="s">
        <v>94</v>
      </c>
      <c r="G33" t="s">
        <v>95</v>
      </c>
      <c r="H33" t="s">
        <v>96</v>
      </c>
      <c r="I33" t="s">
        <v>340</v>
      </c>
      <c r="J33" t="s">
        <v>176</v>
      </c>
      <c r="K33" s="6">
        <f t="shared" si="0"/>
        <v>5415.2918919999993</v>
      </c>
      <c r="L33" t="s">
        <v>99</v>
      </c>
      <c r="M33" t="s">
        <v>100</v>
      </c>
      <c r="N33" t="s">
        <v>341</v>
      </c>
      <c r="O33" t="s">
        <v>96</v>
      </c>
      <c r="P33" t="s">
        <v>96</v>
      </c>
      <c r="Q33" t="s">
        <v>492</v>
      </c>
      <c r="R33" t="s">
        <v>343</v>
      </c>
      <c r="S33" t="s">
        <v>104</v>
      </c>
      <c r="T33">
        <v>0</v>
      </c>
      <c r="U33">
        <v>30</v>
      </c>
      <c r="V33">
        <v>30</v>
      </c>
      <c r="W33" t="s">
        <v>105</v>
      </c>
      <c r="X33" t="s">
        <v>106</v>
      </c>
      <c r="Y33" t="s">
        <v>107</v>
      </c>
      <c r="Z33" t="s">
        <v>108</v>
      </c>
      <c r="AA33">
        <v>576</v>
      </c>
      <c r="AB33">
        <v>591</v>
      </c>
      <c r="AC33" t="s">
        <v>109</v>
      </c>
      <c r="AD33" t="s">
        <v>180</v>
      </c>
      <c r="AE33" s="3">
        <v>401110000000</v>
      </c>
      <c r="AF33" t="s">
        <v>167</v>
      </c>
      <c r="AG33" t="s">
        <v>343</v>
      </c>
      <c r="AH33" t="s">
        <v>112</v>
      </c>
      <c r="AI33">
        <v>5</v>
      </c>
      <c r="AJ33">
        <v>192</v>
      </c>
      <c r="AK33">
        <v>197</v>
      </c>
      <c r="AL33" t="s">
        <v>113</v>
      </c>
      <c r="AM33" s="6">
        <v>1378.46</v>
      </c>
      <c r="AN33" s="6">
        <v>3756.31</v>
      </c>
      <c r="AO33" s="6">
        <f t="shared" si="1"/>
        <v>137.846</v>
      </c>
      <c r="AP33" s="6">
        <f t="shared" si="2"/>
        <v>41.3538</v>
      </c>
      <c r="AQ33" s="6">
        <f t="shared" si="3"/>
        <v>1557.6598000000001</v>
      </c>
      <c r="AR33">
        <v>501</v>
      </c>
      <c r="AS33" s="6">
        <f>AQ33*1.045</f>
        <v>1627.7544909999999</v>
      </c>
      <c r="AT33" s="6">
        <v>0</v>
      </c>
      <c r="AU33" s="6">
        <f>AS33*1.2</f>
        <v>1953.3053891999998</v>
      </c>
      <c r="AV33" s="6">
        <v>485.67</v>
      </c>
      <c r="AW33" s="6">
        <v>2126.44</v>
      </c>
      <c r="AX33" t="s">
        <v>118</v>
      </c>
      <c r="AY33" t="s">
        <v>493</v>
      </c>
      <c r="AZ33" s="3">
        <v>843141000000</v>
      </c>
      <c r="BA33" t="s">
        <v>169</v>
      </c>
      <c r="BB33" t="s">
        <v>343</v>
      </c>
      <c r="BC33" t="s">
        <v>112</v>
      </c>
      <c r="BD33">
        <v>13</v>
      </c>
      <c r="BE33">
        <v>192</v>
      </c>
      <c r="BF33">
        <v>197</v>
      </c>
      <c r="BG33" t="s">
        <v>113</v>
      </c>
      <c r="BH33" s="6">
        <v>1314.07</v>
      </c>
      <c r="BI33" s="6">
        <v>3756.31</v>
      </c>
      <c r="BJ33" s="6">
        <f t="shared" si="4"/>
        <v>131.40700000000001</v>
      </c>
      <c r="BK33" s="6">
        <f t="shared" si="5"/>
        <v>39.422099999999993</v>
      </c>
      <c r="BL33" s="6">
        <f t="shared" si="6"/>
        <v>1484.8990999999999</v>
      </c>
      <c r="BM33" s="6">
        <v>501</v>
      </c>
      <c r="BN33" s="6">
        <f>BL33*1.02</f>
        <v>1514.5970819999998</v>
      </c>
      <c r="BO33" s="6">
        <v>0</v>
      </c>
      <c r="BP33" s="6">
        <f t="shared" si="17"/>
        <v>1817.5164983999996</v>
      </c>
      <c r="BQ33" s="6">
        <f t="shared" si="7"/>
        <v>332.61739839999973</v>
      </c>
      <c r="BR33" s="6">
        <f t="shared" si="8"/>
        <v>1817.5164983999996</v>
      </c>
      <c r="BS33" t="s">
        <v>118</v>
      </c>
      <c r="BT33" t="s">
        <v>494</v>
      </c>
      <c r="BU33" s="3">
        <v>850421000000</v>
      </c>
      <c r="BV33" t="s">
        <v>171</v>
      </c>
      <c r="BW33" t="s">
        <v>343</v>
      </c>
      <c r="BX33" t="s">
        <v>112</v>
      </c>
      <c r="BY33">
        <v>6</v>
      </c>
      <c r="BZ33">
        <v>192</v>
      </c>
      <c r="CA33">
        <v>197</v>
      </c>
      <c r="CB33" t="s">
        <v>113</v>
      </c>
      <c r="CC33" s="6">
        <v>1063.78</v>
      </c>
      <c r="CD33" s="6">
        <v>3756.31</v>
      </c>
      <c r="CE33" s="6">
        <f t="shared" si="9"/>
        <v>106.378</v>
      </c>
      <c r="CF33" s="6">
        <f t="shared" si="10"/>
        <v>31.913399999999999</v>
      </c>
      <c r="CG33" s="6">
        <f t="shared" si="11"/>
        <v>1202.0713999999998</v>
      </c>
      <c r="CH33" s="6">
        <v>501</v>
      </c>
      <c r="CI33" s="6">
        <f>CG33*1.02</f>
        <v>1226.1128279999998</v>
      </c>
      <c r="CJ33" s="6">
        <v>0</v>
      </c>
      <c r="CK33" s="6">
        <f>CI33*1.2</f>
        <v>1471.3353935999996</v>
      </c>
      <c r="CL33" s="6">
        <f t="shared" si="12"/>
        <v>269.26399359999982</v>
      </c>
      <c r="CM33" s="6">
        <f t="shared" si="13"/>
        <v>1471.3353935999996</v>
      </c>
      <c r="CN33" t="s">
        <v>118</v>
      </c>
      <c r="CO33" t="s">
        <v>495</v>
      </c>
      <c r="CP33">
        <f t="shared" ca="1" si="14"/>
        <v>1.4853840821053899E-2</v>
      </c>
      <c r="CR33" s="11"/>
    </row>
    <row r="34" spans="1:96" x14ac:dyDescent="0.35">
      <c r="A34">
        <v>1222603039</v>
      </c>
      <c r="B34" t="s">
        <v>404</v>
      </c>
      <c r="C34" t="s">
        <v>473</v>
      </c>
      <c r="D34" t="s">
        <v>93</v>
      </c>
      <c r="E34">
        <v>4000</v>
      </c>
      <c r="F34" t="s">
        <v>94</v>
      </c>
      <c r="G34" t="s">
        <v>95</v>
      </c>
      <c r="H34" t="s">
        <v>96</v>
      </c>
      <c r="I34" t="s">
        <v>313</v>
      </c>
      <c r="J34" t="s">
        <v>176</v>
      </c>
      <c r="K34" s="6">
        <f t="shared" si="0"/>
        <v>3925.2565242000001</v>
      </c>
      <c r="L34" t="s">
        <v>99</v>
      </c>
      <c r="M34" t="s">
        <v>100</v>
      </c>
      <c r="N34" t="s">
        <v>314</v>
      </c>
      <c r="O34" t="s">
        <v>96</v>
      </c>
      <c r="P34" t="s">
        <v>96</v>
      </c>
      <c r="Q34" t="s">
        <v>474</v>
      </c>
      <c r="R34" t="s">
        <v>96</v>
      </c>
      <c r="S34" t="s">
        <v>104</v>
      </c>
      <c r="T34">
        <v>0</v>
      </c>
      <c r="U34">
        <v>30</v>
      </c>
      <c r="V34">
        <v>30</v>
      </c>
      <c r="W34" t="s">
        <v>105</v>
      </c>
      <c r="X34" t="s">
        <v>106</v>
      </c>
      <c r="Y34" t="s">
        <v>107</v>
      </c>
      <c r="Z34" t="s">
        <v>108</v>
      </c>
      <c r="AA34">
        <v>558</v>
      </c>
      <c r="AB34">
        <v>573</v>
      </c>
      <c r="AC34" t="s">
        <v>109</v>
      </c>
      <c r="AD34" t="s">
        <v>468</v>
      </c>
      <c r="AE34" s="3">
        <v>292241000000</v>
      </c>
      <c r="AF34" t="s">
        <v>129</v>
      </c>
      <c r="AG34" t="s">
        <v>316</v>
      </c>
      <c r="AH34" t="s">
        <v>112</v>
      </c>
      <c r="AI34">
        <v>11</v>
      </c>
      <c r="AJ34">
        <v>186</v>
      </c>
      <c r="AK34">
        <v>191</v>
      </c>
      <c r="AL34" t="s">
        <v>113</v>
      </c>
      <c r="AM34" s="6">
        <v>1002.34</v>
      </c>
      <c r="AN34" s="6">
        <v>2778.43</v>
      </c>
      <c r="AO34" s="6">
        <f t="shared" si="1"/>
        <v>100.23400000000001</v>
      </c>
      <c r="AP34" s="6">
        <f t="shared" si="2"/>
        <v>30.0702</v>
      </c>
      <c r="AQ34" s="6">
        <f t="shared" si="3"/>
        <v>1132.6442000000002</v>
      </c>
      <c r="AR34">
        <v>501</v>
      </c>
      <c r="AS34" s="6">
        <f>AQ34*1.05</f>
        <v>1189.2764100000002</v>
      </c>
      <c r="AT34" s="6">
        <v>0</v>
      </c>
      <c r="AU34" s="6">
        <f>AS34*1.2</f>
        <v>1427.1316920000002</v>
      </c>
      <c r="AV34" s="6">
        <f>AU34-AQ34</f>
        <v>294.48749199999997</v>
      </c>
      <c r="AW34" s="6">
        <f>AU34</f>
        <v>1427.1316920000002</v>
      </c>
      <c r="AX34" t="s">
        <v>118</v>
      </c>
      <c r="AY34" t="s">
        <v>475</v>
      </c>
      <c r="AZ34" s="3">
        <v>390110900000</v>
      </c>
      <c r="BA34" t="s">
        <v>131</v>
      </c>
      <c r="BB34" t="s">
        <v>316</v>
      </c>
      <c r="BC34" t="s">
        <v>117</v>
      </c>
      <c r="BD34">
        <v>7</v>
      </c>
      <c r="BE34">
        <v>186</v>
      </c>
      <c r="BF34">
        <v>191</v>
      </c>
      <c r="BG34" t="s">
        <v>113</v>
      </c>
      <c r="BH34" s="6">
        <v>1018.23</v>
      </c>
      <c r="BI34" s="6">
        <v>2778.43</v>
      </c>
      <c r="BJ34" s="6">
        <f t="shared" si="4"/>
        <v>101.82300000000001</v>
      </c>
      <c r="BK34" s="6">
        <f t="shared" si="5"/>
        <v>30.546900000000001</v>
      </c>
      <c r="BL34" s="6">
        <f t="shared" si="6"/>
        <v>1150.5999000000002</v>
      </c>
      <c r="BM34" s="6">
        <v>501</v>
      </c>
      <c r="BN34" s="6">
        <f>BL34*1.065</f>
        <v>1225.3888935000002</v>
      </c>
      <c r="BO34" s="6">
        <v>0</v>
      </c>
      <c r="BP34" s="6">
        <f t="shared" si="17"/>
        <v>1470.4666722000002</v>
      </c>
      <c r="BQ34" s="6">
        <f t="shared" si="7"/>
        <v>319.86677220000001</v>
      </c>
      <c r="BR34" s="6">
        <f t="shared" si="8"/>
        <v>1470.4666722000002</v>
      </c>
      <c r="BS34" t="s">
        <v>118</v>
      </c>
      <c r="BT34" t="s">
        <v>476</v>
      </c>
      <c r="BU34" s="3">
        <v>310210100000</v>
      </c>
      <c r="BV34" t="s">
        <v>133</v>
      </c>
      <c r="BW34" t="s">
        <v>316</v>
      </c>
      <c r="BX34" t="s">
        <v>117</v>
      </c>
      <c r="BY34">
        <v>20</v>
      </c>
      <c r="BZ34">
        <v>186</v>
      </c>
      <c r="CA34">
        <v>191</v>
      </c>
      <c r="CB34" t="s">
        <v>113</v>
      </c>
      <c r="CC34" s="6">
        <v>757.86</v>
      </c>
      <c r="CD34" s="6">
        <v>2778.43</v>
      </c>
      <c r="CE34" s="6">
        <f t="shared" si="9"/>
        <v>75.786000000000001</v>
      </c>
      <c r="CF34" s="6">
        <f t="shared" si="10"/>
        <v>22.735800000000001</v>
      </c>
      <c r="CG34" s="6">
        <f t="shared" si="11"/>
        <v>856.3818</v>
      </c>
      <c r="CH34" s="6">
        <v>501</v>
      </c>
      <c r="CI34" s="6">
        <v>0</v>
      </c>
      <c r="CJ34" s="6">
        <v>0</v>
      </c>
      <c r="CK34" s="6">
        <f>CG34*1.2</f>
        <v>1027.65816</v>
      </c>
      <c r="CL34" s="6">
        <f t="shared" si="12"/>
        <v>171.27635999999995</v>
      </c>
      <c r="CM34" s="6">
        <f t="shared" si="13"/>
        <v>1027.65816</v>
      </c>
      <c r="CN34" t="s">
        <v>118</v>
      </c>
      <c r="CO34" t="s">
        <v>477</v>
      </c>
      <c r="CP34">
        <f t="shared" ca="1" si="14"/>
        <v>0.86657948231528048</v>
      </c>
    </row>
    <row r="35" spans="1:96" x14ac:dyDescent="0.35">
      <c r="A35">
        <v>1222603042</v>
      </c>
      <c r="B35" t="s">
        <v>410</v>
      </c>
      <c r="C35" t="s">
        <v>257</v>
      </c>
      <c r="D35" t="s">
        <v>93</v>
      </c>
      <c r="E35">
        <v>4000</v>
      </c>
      <c r="F35" t="s">
        <v>94</v>
      </c>
      <c r="G35" t="s">
        <v>95</v>
      </c>
      <c r="H35" t="s">
        <v>96</v>
      </c>
      <c r="I35" t="s">
        <v>258</v>
      </c>
      <c r="J35" t="s">
        <v>176</v>
      </c>
      <c r="K35" s="6">
        <f t="shared" si="0"/>
        <v>38570.332081199995</v>
      </c>
      <c r="L35" t="s">
        <v>99</v>
      </c>
      <c r="M35" t="s">
        <v>100</v>
      </c>
      <c r="N35" t="s">
        <v>259</v>
      </c>
      <c r="O35" t="s">
        <v>96</v>
      </c>
      <c r="P35" t="s">
        <v>96</v>
      </c>
      <c r="Q35" t="s">
        <v>260</v>
      </c>
      <c r="R35" t="s">
        <v>261</v>
      </c>
      <c r="S35" t="s">
        <v>104</v>
      </c>
      <c r="T35">
        <v>0</v>
      </c>
      <c r="U35">
        <v>30</v>
      </c>
      <c r="V35">
        <v>30</v>
      </c>
      <c r="W35" t="s">
        <v>105</v>
      </c>
      <c r="X35" t="s">
        <v>106</v>
      </c>
      <c r="Y35" t="s">
        <v>107</v>
      </c>
      <c r="Z35" t="s">
        <v>108</v>
      </c>
      <c r="AA35">
        <v>378</v>
      </c>
      <c r="AB35">
        <v>393</v>
      </c>
      <c r="AC35" t="s">
        <v>109</v>
      </c>
      <c r="AD35" t="s">
        <v>110</v>
      </c>
      <c r="AE35" s="3">
        <v>870323190000</v>
      </c>
      <c r="AF35" t="s">
        <v>194</v>
      </c>
      <c r="AG35" t="s">
        <v>261</v>
      </c>
      <c r="AH35" t="s">
        <v>195</v>
      </c>
      <c r="AI35">
        <v>13</v>
      </c>
      <c r="AJ35">
        <v>126</v>
      </c>
      <c r="AK35">
        <v>131</v>
      </c>
      <c r="AL35" t="s">
        <v>113</v>
      </c>
      <c r="AM35" s="6">
        <v>6807.54</v>
      </c>
      <c r="AN35" s="6">
        <f>AM35*1.08</f>
        <v>7352.1432000000004</v>
      </c>
      <c r="AO35" s="6">
        <f t="shared" si="1"/>
        <v>680.75400000000002</v>
      </c>
      <c r="AP35" s="6">
        <f t="shared" si="2"/>
        <v>204.22619999999998</v>
      </c>
      <c r="AQ35" s="6">
        <f t="shared" si="3"/>
        <v>7692.5201999999999</v>
      </c>
      <c r="AR35">
        <v>602</v>
      </c>
      <c r="AS35" s="6">
        <f>AQ35*1.1</f>
        <v>8461.7722200000007</v>
      </c>
      <c r="AT35" s="6">
        <f>AS35*1.8</f>
        <v>15231.189996000001</v>
      </c>
      <c r="AU35" s="6">
        <f>AT35*1.2</f>
        <v>18277.4279952</v>
      </c>
      <c r="AV35" s="6">
        <f>AU35-AQ35</f>
        <v>10584.907795200001</v>
      </c>
      <c r="AW35" s="6">
        <f>AU35</f>
        <v>18277.4279952</v>
      </c>
      <c r="AX35" t="s">
        <v>118</v>
      </c>
      <c r="AY35" t="s">
        <v>262</v>
      </c>
      <c r="AZ35" s="3">
        <v>842720000000</v>
      </c>
      <c r="BA35" t="s">
        <v>197</v>
      </c>
      <c r="BB35" t="s">
        <v>261</v>
      </c>
      <c r="BC35" t="s">
        <v>195</v>
      </c>
      <c r="BD35">
        <v>16</v>
      </c>
      <c r="BE35">
        <v>126</v>
      </c>
      <c r="BF35">
        <v>131</v>
      </c>
      <c r="BG35" t="s">
        <v>113</v>
      </c>
      <c r="BH35" s="6">
        <v>6164.63</v>
      </c>
      <c r="BI35" s="6">
        <f>BH35*1.08</f>
        <v>6657.800400000001</v>
      </c>
      <c r="BJ35" s="6">
        <f t="shared" si="4"/>
        <v>616.46300000000008</v>
      </c>
      <c r="BK35" s="6">
        <f t="shared" si="5"/>
        <v>184.93889999999999</v>
      </c>
      <c r="BL35" s="6">
        <f t="shared" si="6"/>
        <v>6966.0319</v>
      </c>
      <c r="BM35" s="6">
        <v>501</v>
      </c>
      <c r="BN35" s="6">
        <f>BL35*1.05</f>
        <v>7314.3334949999999</v>
      </c>
      <c r="BO35" s="6">
        <v>0</v>
      </c>
      <c r="BP35" s="6">
        <f t="shared" si="17"/>
        <v>8777.2001939999991</v>
      </c>
      <c r="BQ35" s="6">
        <f t="shared" si="7"/>
        <v>1811.1682939999992</v>
      </c>
      <c r="BR35" s="6">
        <f t="shared" si="8"/>
        <v>8777.2001939999991</v>
      </c>
      <c r="BS35" t="s">
        <v>118</v>
      </c>
      <c r="BT35" t="s">
        <v>263</v>
      </c>
      <c r="BU35" s="3">
        <v>640399930000</v>
      </c>
      <c r="BV35" t="s">
        <v>199</v>
      </c>
      <c r="BW35" t="s">
        <v>261</v>
      </c>
      <c r="BX35" t="s">
        <v>112</v>
      </c>
      <c r="BY35">
        <v>16</v>
      </c>
      <c r="BZ35">
        <v>126</v>
      </c>
      <c r="CA35">
        <v>131</v>
      </c>
      <c r="CB35" t="s">
        <v>113</v>
      </c>
      <c r="CC35" s="6">
        <v>7720.37</v>
      </c>
      <c r="CD35" s="6">
        <f>CC35*1.08</f>
        <v>8337.999600000001</v>
      </c>
      <c r="CE35" s="6">
        <f t="shared" si="9"/>
        <v>772.03700000000003</v>
      </c>
      <c r="CF35" s="6">
        <f t="shared" si="10"/>
        <v>231.61109999999999</v>
      </c>
      <c r="CG35" s="6">
        <f t="shared" si="11"/>
        <v>8724.0180999999993</v>
      </c>
      <c r="CH35" s="6">
        <v>101</v>
      </c>
      <c r="CI35" s="6">
        <f>CG35*1.1</f>
        <v>9596.4199100000005</v>
      </c>
      <c r="CJ35" s="6">
        <v>0</v>
      </c>
      <c r="CK35" s="6">
        <f>CI35*1.2</f>
        <v>11515.703892</v>
      </c>
      <c r="CL35" s="6">
        <f t="shared" si="12"/>
        <v>2791.6857920000002</v>
      </c>
      <c r="CM35" s="6">
        <f t="shared" si="13"/>
        <v>11515.703892</v>
      </c>
      <c r="CN35" t="s">
        <v>118</v>
      </c>
      <c r="CO35" t="s">
        <v>264</v>
      </c>
      <c r="CP35">
        <f t="shared" ca="1" si="14"/>
        <v>0.74669461346789934</v>
      </c>
    </row>
    <row r="36" spans="1:96" x14ac:dyDescent="0.35">
      <c r="A36">
        <v>1222603043</v>
      </c>
      <c r="B36" t="s">
        <v>416</v>
      </c>
      <c r="C36" t="s">
        <v>174</v>
      </c>
      <c r="D36" t="s">
        <v>93</v>
      </c>
      <c r="E36">
        <v>4000</v>
      </c>
      <c r="F36" t="s">
        <v>94</v>
      </c>
      <c r="G36" t="s">
        <v>95</v>
      </c>
      <c r="H36" t="s">
        <v>96</v>
      </c>
      <c r="I36" t="s">
        <v>175</v>
      </c>
      <c r="J36" t="s">
        <v>176</v>
      </c>
      <c r="K36" s="6">
        <f t="shared" si="0"/>
        <v>3370.9346400000004</v>
      </c>
      <c r="L36" t="s">
        <v>99</v>
      </c>
      <c r="M36" t="s">
        <v>100</v>
      </c>
      <c r="N36" t="s">
        <v>177</v>
      </c>
      <c r="O36" t="s">
        <v>96</v>
      </c>
      <c r="P36" t="s">
        <v>96</v>
      </c>
      <c r="Q36" t="s">
        <v>178</v>
      </c>
      <c r="R36" t="s">
        <v>179</v>
      </c>
      <c r="S36" t="s">
        <v>104</v>
      </c>
      <c r="T36">
        <v>0</v>
      </c>
      <c r="U36">
        <v>30</v>
      </c>
      <c r="V36">
        <v>30</v>
      </c>
      <c r="W36" t="s">
        <v>105</v>
      </c>
      <c r="X36" t="s">
        <v>106</v>
      </c>
      <c r="Y36" t="s">
        <v>107</v>
      </c>
      <c r="Z36" t="s">
        <v>108</v>
      </c>
      <c r="AA36">
        <v>330</v>
      </c>
      <c r="AB36">
        <v>345</v>
      </c>
      <c r="AC36" t="s">
        <v>109</v>
      </c>
      <c r="AD36" t="s">
        <v>180</v>
      </c>
      <c r="AE36" s="3">
        <v>940360100000</v>
      </c>
      <c r="AF36" t="s">
        <v>181</v>
      </c>
      <c r="AG36" t="s">
        <v>179</v>
      </c>
      <c r="AH36" t="s">
        <v>182</v>
      </c>
      <c r="AI36">
        <v>14</v>
      </c>
      <c r="AJ36">
        <v>110</v>
      </c>
      <c r="AK36">
        <v>115</v>
      </c>
      <c r="AL36" t="s">
        <v>113</v>
      </c>
      <c r="AM36" s="6">
        <v>951.57</v>
      </c>
      <c r="AN36" s="6">
        <v>2485.94</v>
      </c>
      <c r="AO36" s="6">
        <f t="shared" si="1"/>
        <v>95.157000000000011</v>
      </c>
      <c r="AP36" s="6">
        <f t="shared" si="2"/>
        <v>28.5471</v>
      </c>
      <c r="AQ36" s="6">
        <f t="shared" si="3"/>
        <v>1075.2741000000001</v>
      </c>
      <c r="AR36">
        <v>501</v>
      </c>
      <c r="AS36" s="6">
        <v>0</v>
      </c>
      <c r="AT36" s="6">
        <v>0</v>
      </c>
      <c r="AU36" s="6">
        <f>AQ36*1.2</f>
        <v>1290.3289200000002</v>
      </c>
      <c r="AV36" s="6">
        <f>AU36-AQ36</f>
        <v>215.05482000000006</v>
      </c>
      <c r="AW36" s="6">
        <f>AU36</f>
        <v>1290.3289200000002</v>
      </c>
      <c r="AX36" t="s">
        <v>114</v>
      </c>
      <c r="AY36" t="s">
        <v>183</v>
      </c>
      <c r="AZ36" s="3">
        <v>440711100000</v>
      </c>
      <c r="BA36" t="s">
        <v>184</v>
      </c>
      <c r="BB36" t="s">
        <v>179</v>
      </c>
      <c r="BC36" t="s">
        <v>103</v>
      </c>
      <c r="BD36">
        <v>9</v>
      </c>
      <c r="BE36">
        <v>110</v>
      </c>
      <c r="BF36">
        <v>115</v>
      </c>
      <c r="BG36" t="s">
        <v>113</v>
      </c>
      <c r="BH36" s="6">
        <v>745.67</v>
      </c>
      <c r="BI36" s="6">
        <v>2485.94</v>
      </c>
      <c r="BJ36" s="6">
        <f t="shared" si="4"/>
        <v>74.566999999999993</v>
      </c>
      <c r="BK36" s="6">
        <f t="shared" si="5"/>
        <v>22.370099999999997</v>
      </c>
      <c r="BL36" s="6">
        <f t="shared" si="6"/>
        <v>842.60709999999995</v>
      </c>
      <c r="BM36" s="6">
        <v>501</v>
      </c>
      <c r="BN36" s="6">
        <v>0</v>
      </c>
      <c r="BO36" s="6">
        <v>0</v>
      </c>
      <c r="BP36" s="6">
        <f>BL36*1.2</f>
        <v>1011.1285199999999</v>
      </c>
      <c r="BQ36" s="6">
        <f t="shared" si="7"/>
        <v>168.52141999999992</v>
      </c>
      <c r="BR36" s="6">
        <f t="shared" si="8"/>
        <v>1011.1285199999999</v>
      </c>
      <c r="BS36" t="s">
        <v>114</v>
      </c>
      <c r="BT36" t="s">
        <v>185</v>
      </c>
      <c r="BU36" s="3">
        <v>690721000000</v>
      </c>
      <c r="BV36" t="s">
        <v>186</v>
      </c>
      <c r="BW36" t="s">
        <v>179</v>
      </c>
      <c r="BX36" t="s">
        <v>112</v>
      </c>
      <c r="BY36">
        <v>16</v>
      </c>
      <c r="BZ36">
        <v>110</v>
      </c>
      <c r="CA36">
        <v>115</v>
      </c>
      <c r="CB36" t="s">
        <v>113</v>
      </c>
      <c r="CC36" s="6">
        <v>788.7</v>
      </c>
      <c r="CD36" s="6">
        <v>2485.94</v>
      </c>
      <c r="CE36" s="6">
        <f t="shared" si="9"/>
        <v>78.87</v>
      </c>
      <c r="CF36" s="6">
        <f t="shared" si="10"/>
        <v>23.661000000000001</v>
      </c>
      <c r="CG36" s="6">
        <f t="shared" si="11"/>
        <v>891.23099999999999</v>
      </c>
      <c r="CH36" s="6">
        <v>501</v>
      </c>
      <c r="CI36" s="6">
        <v>0</v>
      </c>
      <c r="CJ36" s="6">
        <v>0</v>
      </c>
      <c r="CK36" s="6">
        <f>CG36*1.2</f>
        <v>1069.4772</v>
      </c>
      <c r="CL36" s="6">
        <f t="shared" si="12"/>
        <v>178.24620000000004</v>
      </c>
      <c r="CM36" s="6">
        <f t="shared" si="13"/>
        <v>1069.4772</v>
      </c>
      <c r="CN36" t="s">
        <v>114</v>
      </c>
      <c r="CO36" t="s">
        <v>187</v>
      </c>
      <c r="CP36">
        <f t="shared" ca="1" si="14"/>
        <v>0.54420325471360653</v>
      </c>
    </row>
    <row r="37" spans="1:96" x14ac:dyDescent="0.35">
      <c r="A37">
        <v>1222603044</v>
      </c>
      <c r="B37" t="s">
        <v>422</v>
      </c>
      <c r="C37" t="s">
        <v>303</v>
      </c>
      <c r="D37" t="s">
        <v>93</v>
      </c>
      <c r="E37">
        <v>4000</v>
      </c>
      <c r="F37" t="s">
        <v>94</v>
      </c>
      <c r="G37" t="s">
        <v>95</v>
      </c>
      <c r="H37" t="s">
        <v>96</v>
      </c>
      <c r="I37" t="s">
        <v>304</v>
      </c>
      <c r="J37" t="s">
        <v>176</v>
      </c>
      <c r="K37" s="6">
        <f t="shared" si="0"/>
        <v>5392.7970248000001</v>
      </c>
      <c r="L37" t="s">
        <v>99</v>
      </c>
      <c r="M37" t="s">
        <v>100</v>
      </c>
      <c r="N37" t="s">
        <v>305</v>
      </c>
      <c r="O37" t="s">
        <v>96</v>
      </c>
      <c r="P37" t="s">
        <v>96</v>
      </c>
      <c r="Q37" t="s">
        <v>306</v>
      </c>
      <c r="R37" t="s">
        <v>307</v>
      </c>
      <c r="S37" t="s">
        <v>104</v>
      </c>
      <c r="T37">
        <v>0</v>
      </c>
      <c r="U37">
        <v>30</v>
      </c>
      <c r="V37">
        <v>30</v>
      </c>
      <c r="W37" t="s">
        <v>105</v>
      </c>
      <c r="X37" t="s">
        <v>106</v>
      </c>
      <c r="Y37" t="s">
        <v>107</v>
      </c>
      <c r="Z37" t="s">
        <v>108</v>
      </c>
      <c r="AA37">
        <v>408</v>
      </c>
      <c r="AB37">
        <v>423</v>
      </c>
      <c r="AC37" t="s">
        <v>109</v>
      </c>
      <c r="AD37" t="s">
        <v>207</v>
      </c>
      <c r="AE37" s="3">
        <v>401110000000</v>
      </c>
      <c r="AF37" t="s">
        <v>167</v>
      </c>
      <c r="AG37" t="s">
        <v>307</v>
      </c>
      <c r="AH37" t="s">
        <v>112</v>
      </c>
      <c r="AI37">
        <v>8</v>
      </c>
      <c r="AJ37">
        <v>136</v>
      </c>
      <c r="AK37">
        <v>141</v>
      </c>
      <c r="AL37" t="s">
        <v>113</v>
      </c>
      <c r="AM37" s="6">
        <v>1294.6199999999999</v>
      </c>
      <c r="AN37" s="6">
        <v>3485.91</v>
      </c>
      <c r="AO37" s="6">
        <f t="shared" si="1"/>
        <v>129.46199999999999</v>
      </c>
      <c r="AP37" s="6">
        <f t="shared" si="2"/>
        <v>38.838599999999992</v>
      </c>
      <c r="AQ37" s="6">
        <f t="shared" si="3"/>
        <v>1462.9205999999999</v>
      </c>
      <c r="AR37">
        <v>501</v>
      </c>
      <c r="AS37" s="6">
        <f>AQ37*1.045</f>
        <v>1528.7520269999998</v>
      </c>
      <c r="AT37" s="6">
        <v>0</v>
      </c>
      <c r="AU37" s="6">
        <f>AS37*1.2</f>
        <v>1834.5024323999996</v>
      </c>
      <c r="AV37" s="6">
        <v>539.46</v>
      </c>
      <c r="AW37" s="6">
        <v>2361.98</v>
      </c>
      <c r="AX37" t="s">
        <v>118</v>
      </c>
      <c r="AY37" t="s">
        <v>308</v>
      </c>
      <c r="AZ37" s="3">
        <v>843141000000</v>
      </c>
      <c r="BA37" t="s">
        <v>169</v>
      </c>
      <c r="BB37" t="s">
        <v>307</v>
      </c>
      <c r="BC37" t="s">
        <v>112</v>
      </c>
      <c r="BD37">
        <v>18</v>
      </c>
      <c r="BE37">
        <v>136</v>
      </c>
      <c r="BF37">
        <v>141</v>
      </c>
      <c r="BG37" t="s">
        <v>113</v>
      </c>
      <c r="BH37" s="6">
        <v>1341.67</v>
      </c>
      <c r="BI37" s="6">
        <v>3485.91</v>
      </c>
      <c r="BJ37" s="6">
        <f t="shared" si="4"/>
        <v>134.167</v>
      </c>
      <c r="BK37" s="6">
        <f t="shared" si="5"/>
        <v>40.250100000000003</v>
      </c>
      <c r="BL37" s="6">
        <f t="shared" si="6"/>
        <v>1516.0871</v>
      </c>
      <c r="BM37" s="6">
        <v>501</v>
      </c>
      <c r="BN37" s="6">
        <f>BL37*1.02</f>
        <v>1546.408842</v>
      </c>
      <c r="BO37" s="6">
        <v>0</v>
      </c>
      <c r="BP37" s="6">
        <f>BN37*1.2</f>
        <v>1855.6906104</v>
      </c>
      <c r="BQ37" s="6">
        <f t="shared" si="7"/>
        <v>339.6035104</v>
      </c>
      <c r="BR37" s="6">
        <f t="shared" si="8"/>
        <v>1855.6906104</v>
      </c>
      <c r="BS37" t="s">
        <v>118</v>
      </c>
      <c r="BT37" t="s">
        <v>309</v>
      </c>
      <c r="BU37" s="3">
        <v>850421000000</v>
      </c>
      <c r="BV37" t="s">
        <v>171</v>
      </c>
      <c r="BW37" t="s">
        <v>307</v>
      </c>
      <c r="BX37" t="s">
        <v>112</v>
      </c>
      <c r="BY37">
        <v>14</v>
      </c>
      <c r="BZ37">
        <v>136</v>
      </c>
      <c r="CA37">
        <v>141</v>
      </c>
      <c r="CB37" t="s">
        <v>113</v>
      </c>
      <c r="CC37" s="6">
        <v>849.62</v>
      </c>
      <c r="CD37" s="6">
        <v>3485.91</v>
      </c>
      <c r="CE37" s="6">
        <f t="shared" si="9"/>
        <v>84.962000000000003</v>
      </c>
      <c r="CF37" s="6">
        <f t="shared" si="10"/>
        <v>25.488599999999998</v>
      </c>
      <c r="CG37" s="6">
        <f t="shared" si="11"/>
        <v>960.07060000000001</v>
      </c>
      <c r="CH37" s="6">
        <v>501</v>
      </c>
      <c r="CI37" s="6">
        <f>CG37*1.02</f>
        <v>979.27201200000002</v>
      </c>
      <c r="CJ37" s="6">
        <v>0</v>
      </c>
      <c r="CK37" s="6">
        <f>CI37*1.2</f>
        <v>1175.1264143999999</v>
      </c>
      <c r="CL37" s="6">
        <f t="shared" si="12"/>
        <v>215.05581439999992</v>
      </c>
      <c r="CM37" s="6">
        <f t="shared" si="13"/>
        <v>1175.1264143999999</v>
      </c>
      <c r="CN37" t="s">
        <v>118</v>
      </c>
      <c r="CO37" t="s">
        <v>310</v>
      </c>
      <c r="CP37">
        <f t="shared" ca="1" si="14"/>
        <v>0.31389811058993899</v>
      </c>
    </row>
    <row r="38" spans="1:96" x14ac:dyDescent="0.35">
      <c r="A38">
        <v>1222603045</v>
      </c>
      <c r="B38" t="s">
        <v>429</v>
      </c>
      <c r="C38" t="s">
        <v>448</v>
      </c>
      <c r="D38" t="s">
        <v>93</v>
      </c>
      <c r="E38">
        <v>4000</v>
      </c>
      <c r="F38" t="s">
        <v>94</v>
      </c>
      <c r="G38" t="s">
        <v>95</v>
      </c>
      <c r="H38" t="s">
        <v>96</v>
      </c>
      <c r="I38" t="s">
        <v>276</v>
      </c>
      <c r="J38" t="s">
        <v>176</v>
      </c>
      <c r="K38" s="6">
        <f t="shared" si="0"/>
        <v>5275.1601872000001</v>
      </c>
      <c r="L38" t="s">
        <v>99</v>
      </c>
      <c r="M38" t="s">
        <v>100</v>
      </c>
      <c r="N38" t="s">
        <v>277</v>
      </c>
      <c r="O38" t="s">
        <v>96</v>
      </c>
      <c r="P38" t="s">
        <v>96</v>
      </c>
      <c r="Q38" t="s">
        <v>449</v>
      </c>
      <c r="R38" t="s">
        <v>96</v>
      </c>
      <c r="S38" t="s">
        <v>104</v>
      </c>
      <c r="T38">
        <v>0</v>
      </c>
      <c r="U38">
        <v>30</v>
      </c>
      <c r="V38">
        <v>30</v>
      </c>
      <c r="W38" t="s">
        <v>105</v>
      </c>
      <c r="X38" t="s">
        <v>106</v>
      </c>
      <c r="Y38" t="s">
        <v>107</v>
      </c>
      <c r="Z38" t="s">
        <v>108</v>
      </c>
      <c r="AA38">
        <v>534</v>
      </c>
      <c r="AB38">
        <v>549</v>
      </c>
      <c r="AC38" t="s">
        <v>109</v>
      </c>
      <c r="AD38" t="s">
        <v>180</v>
      </c>
      <c r="AE38" s="3">
        <v>401110000000</v>
      </c>
      <c r="AF38" t="s">
        <v>167</v>
      </c>
      <c r="AG38" t="s">
        <v>279</v>
      </c>
      <c r="AH38" t="s">
        <v>112</v>
      </c>
      <c r="AI38">
        <v>6</v>
      </c>
      <c r="AJ38">
        <v>178</v>
      </c>
      <c r="AK38">
        <v>183</v>
      </c>
      <c r="AL38" t="s">
        <v>113</v>
      </c>
      <c r="AM38" s="6">
        <v>1117.07</v>
      </c>
      <c r="AN38" s="6">
        <v>3302.13</v>
      </c>
      <c r="AO38" s="6">
        <f t="shared" si="1"/>
        <v>111.70699999999999</v>
      </c>
      <c r="AP38" s="6">
        <f t="shared" si="2"/>
        <v>33.512099999999997</v>
      </c>
      <c r="AQ38" s="6">
        <f t="shared" si="3"/>
        <v>1262.2891</v>
      </c>
      <c r="AR38">
        <v>501</v>
      </c>
      <c r="AS38" s="6">
        <f>AQ38*1.045</f>
        <v>1319.0921094999999</v>
      </c>
      <c r="AT38" s="6">
        <v>0</v>
      </c>
      <c r="AU38" s="6">
        <f>AS38*1.2</f>
        <v>1582.9105313999999</v>
      </c>
      <c r="AV38" s="6">
        <v>514.55999999999995</v>
      </c>
      <c r="AW38" s="6">
        <v>2252.96</v>
      </c>
      <c r="AX38" t="s">
        <v>118</v>
      </c>
      <c r="AY38" t="s">
        <v>450</v>
      </c>
      <c r="AZ38" s="3">
        <v>843141000000</v>
      </c>
      <c r="BA38" t="s">
        <v>169</v>
      </c>
      <c r="BB38" t="s">
        <v>279</v>
      </c>
      <c r="BC38" t="s">
        <v>112</v>
      </c>
      <c r="BD38">
        <v>12</v>
      </c>
      <c r="BE38">
        <v>178</v>
      </c>
      <c r="BF38">
        <v>183</v>
      </c>
      <c r="BG38" t="s">
        <v>113</v>
      </c>
      <c r="BH38" s="6">
        <v>1057.68</v>
      </c>
      <c r="BI38" s="6">
        <v>3302.13</v>
      </c>
      <c r="BJ38" s="6">
        <f t="shared" si="4"/>
        <v>105.76800000000001</v>
      </c>
      <c r="BK38" s="6">
        <f t="shared" si="5"/>
        <v>31.730399999999999</v>
      </c>
      <c r="BL38" s="6">
        <f t="shared" si="6"/>
        <v>1195.1784</v>
      </c>
      <c r="BM38" s="6">
        <v>501</v>
      </c>
      <c r="BN38" s="6">
        <f>BL38*1.02</f>
        <v>1219.081968</v>
      </c>
      <c r="BO38" s="6">
        <v>0</v>
      </c>
      <c r="BP38" s="6">
        <f>BN38*1.2</f>
        <v>1462.8983615999998</v>
      </c>
      <c r="BQ38" s="6">
        <f t="shared" si="7"/>
        <v>267.71996159999981</v>
      </c>
      <c r="BR38" s="6">
        <f t="shared" si="8"/>
        <v>1462.8983615999998</v>
      </c>
      <c r="BS38" t="s">
        <v>118</v>
      </c>
      <c r="BT38" t="s">
        <v>451</v>
      </c>
      <c r="BU38" s="3">
        <v>850421000000</v>
      </c>
      <c r="BV38" t="s">
        <v>171</v>
      </c>
      <c r="BW38" t="s">
        <v>279</v>
      </c>
      <c r="BX38" t="s">
        <v>112</v>
      </c>
      <c r="BY38">
        <v>12</v>
      </c>
      <c r="BZ38">
        <v>178</v>
      </c>
      <c r="CA38">
        <v>183</v>
      </c>
      <c r="CB38" t="s">
        <v>113</v>
      </c>
      <c r="CC38" s="6">
        <v>1127.3800000000001</v>
      </c>
      <c r="CD38" s="6">
        <v>3302.13</v>
      </c>
      <c r="CE38" s="6">
        <f t="shared" si="9"/>
        <v>112.73800000000001</v>
      </c>
      <c r="CF38" s="6">
        <f t="shared" si="10"/>
        <v>33.821400000000004</v>
      </c>
      <c r="CG38" s="6">
        <f t="shared" si="11"/>
        <v>1273.9394000000002</v>
      </c>
      <c r="CH38" s="6">
        <v>501</v>
      </c>
      <c r="CI38" s="6">
        <f>CG38*1.02</f>
        <v>1299.4181880000003</v>
      </c>
      <c r="CJ38" s="6">
        <v>0</v>
      </c>
      <c r="CK38" s="6">
        <f>CI38*1.2</f>
        <v>1559.3018256000003</v>
      </c>
      <c r="CL38" s="6">
        <f t="shared" si="12"/>
        <v>285.36242560000005</v>
      </c>
      <c r="CM38" s="6">
        <f t="shared" si="13"/>
        <v>1559.3018256000003</v>
      </c>
      <c r="CN38" t="s">
        <v>118</v>
      </c>
      <c r="CO38" t="s">
        <v>452</v>
      </c>
      <c r="CP38">
        <f t="shared" ca="1" si="14"/>
        <v>5.956546438335808E-2</v>
      </c>
    </row>
    <row r="39" spans="1:96" x14ac:dyDescent="0.35">
      <c r="A39">
        <v>1222603046</v>
      </c>
      <c r="B39" t="s">
        <v>435</v>
      </c>
      <c r="C39" t="s">
        <v>485</v>
      </c>
      <c r="D39" t="s">
        <v>93</v>
      </c>
      <c r="E39">
        <v>4000</v>
      </c>
      <c r="F39" t="s">
        <v>94</v>
      </c>
      <c r="G39" t="s">
        <v>95</v>
      </c>
      <c r="H39" t="s">
        <v>96</v>
      </c>
      <c r="I39" t="s">
        <v>331</v>
      </c>
      <c r="J39" t="s">
        <v>176</v>
      </c>
      <c r="K39" s="6">
        <f t="shared" si="0"/>
        <v>7656.7048499999992</v>
      </c>
      <c r="L39" t="s">
        <v>99</v>
      </c>
      <c r="M39" t="s">
        <v>100</v>
      </c>
      <c r="N39" t="s">
        <v>332</v>
      </c>
      <c r="O39" t="s">
        <v>96</v>
      </c>
      <c r="P39" t="s">
        <v>96</v>
      </c>
      <c r="Q39" t="s">
        <v>486</v>
      </c>
      <c r="R39" t="s">
        <v>334</v>
      </c>
      <c r="S39" t="s">
        <v>104</v>
      </c>
      <c r="T39">
        <v>0</v>
      </c>
      <c r="U39">
        <v>30</v>
      </c>
      <c r="V39">
        <v>30</v>
      </c>
      <c r="W39" t="s">
        <v>105</v>
      </c>
      <c r="X39" t="s">
        <v>106</v>
      </c>
      <c r="Y39" t="s">
        <v>107</v>
      </c>
      <c r="Z39" t="s">
        <v>108</v>
      </c>
      <c r="AA39">
        <v>570</v>
      </c>
      <c r="AB39">
        <v>585</v>
      </c>
      <c r="AC39" t="s">
        <v>109</v>
      </c>
      <c r="AD39" t="s">
        <v>344</v>
      </c>
      <c r="AE39" s="3">
        <v>847130000000</v>
      </c>
      <c r="AF39" t="s">
        <v>154</v>
      </c>
      <c r="AG39" t="s">
        <v>334</v>
      </c>
      <c r="AH39" t="s">
        <v>112</v>
      </c>
      <c r="AI39">
        <v>5</v>
      </c>
      <c r="AJ39">
        <v>190</v>
      </c>
      <c r="AK39">
        <v>195</v>
      </c>
      <c r="AL39" t="s">
        <v>113</v>
      </c>
      <c r="AM39" s="6">
        <v>1323.26</v>
      </c>
      <c r="AN39" s="6">
        <v>4673.97</v>
      </c>
      <c r="AO39" s="6">
        <f t="shared" si="1"/>
        <v>132.32599999999999</v>
      </c>
      <c r="AP39" s="6">
        <f t="shared" si="2"/>
        <v>39.697800000000001</v>
      </c>
      <c r="AQ39" s="6">
        <f t="shared" si="3"/>
        <v>1495.2837999999999</v>
      </c>
      <c r="AR39">
        <v>501</v>
      </c>
      <c r="AS39" s="6">
        <v>0</v>
      </c>
      <c r="AT39" s="6">
        <v>0</v>
      </c>
      <c r="AU39" s="6">
        <f>AQ39*1.2</f>
        <v>1794.3405599999999</v>
      </c>
      <c r="AV39" s="6">
        <f t="shared" ref="AV39:AV44" si="18">AU39-AQ39</f>
        <v>299.05675999999994</v>
      </c>
      <c r="AW39" s="6">
        <f t="shared" ref="AW39:AW44" si="19">AU39</f>
        <v>1794.3405599999999</v>
      </c>
      <c r="AX39" t="s">
        <v>118</v>
      </c>
      <c r="AY39" t="s">
        <v>487</v>
      </c>
      <c r="AZ39" s="3">
        <v>851713000000</v>
      </c>
      <c r="BA39" t="s">
        <v>156</v>
      </c>
      <c r="BB39" t="s">
        <v>334</v>
      </c>
      <c r="BC39" t="s">
        <v>112</v>
      </c>
      <c r="BD39">
        <v>9</v>
      </c>
      <c r="BE39">
        <v>190</v>
      </c>
      <c r="BF39">
        <v>195</v>
      </c>
      <c r="BG39" t="s">
        <v>113</v>
      </c>
      <c r="BH39" s="6">
        <v>1788.96</v>
      </c>
      <c r="BI39" s="6">
        <v>4673.97</v>
      </c>
      <c r="BJ39" s="6">
        <f t="shared" si="4"/>
        <v>178.89600000000002</v>
      </c>
      <c r="BK39" s="6">
        <f t="shared" si="5"/>
        <v>53.668799999999997</v>
      </c>
      <c r="BL39" s="6">
        <f t="shared" si="6"/>
        <v>2021.5247999999999</v>
      </c>
      <c r="BM39" s="6">
        <v>602</v>
      </c>
      <c r="BN39" s="6">
        <v>0</v>
      </c>
      <c r="BO39" s="6">
        <f>BL39*1.5</f>
        <v>3032.2871999999998</v>
      </c>
      <c r="BP39" s="6">
        <f>BO39*1.2</f>
        <v>3638.7446399999994</v>
      </c>
      <c r="BQ39" s="6">
        <f t="shared" si="7"/>
        <v>1617.2198399999995</v>
      </c>
      <c r="BR39" s="6">
        <f t="shared" si="8"/>
        <v>3638.7446399999994</v>
      </c>
      <c r="BS39" t="s">
        <v>118</v>
      </c>
      <c r="BT39" t="s">
        <v>488</v>
      </c>
      <c r="BU39" s="3">
        <v>701349100000</v>
      </c>
      <c r="BV39" t="s">
        <v>158</v>
      </c>
      <c r="BW39" t="s">
        <v>334</v>
      </c>
      <c r="BX39" t="s">
        <v>112</v>
      </c>
      <c r="BY39">
        <v>9</v>
      </c>
      <c r="BZ39">
        <v>190</v>
      </c>
      <c r="CA39">
        <v>195</v>
      </c>
      <c r="CB39" t="s">
        <v>113</v>
      </c>
      <c r="CC39" s="6">
        <v>1561.75</v>
      </c>
      <c r="CD39" s="6">
        <v>4673.97</v>
      </c>
      <c r="CE39" s="6">
        <f t="shared" si="9"/>
        <v>156.17500000000001</v>
      </c>
      <c r="CF39" s="6">
        <f t="shared" si="10"/>
        <v>46.852499999999999</v>
      </c>
      <c r="CG39" s="6">
        <f t="shared" si="11"/>
        <v>1764.7774999999999</v>
      </c>
      <c r="CH39" s="6">
        <v>501</v>
      </c>
      <c r="CI39" s="6">
        <f>CG39*1.05</f>
        <v>1853.0163749999999</v>
      </c>
      <c r="CJ39" s="6">
        <v>0</v>
      </c>
      <c r="CK39" s="6">
        <f>CI39*1.2</f>
        <v>2223.6196499999996</v>
      </c>
      <c r="CL39" s="6">
        <f t="shared" si="12"/>
        <v>458.84214999999972</v>
      </c>
      <c r="CM39" s="6">
        <f t="shared" si="13"/>
        <v>2223.6196499999996</v>
      </c>
      <c r="CN39" t="s">
        <v>118</v>
      </c>
      <c r="CO39" t="s">
        <v>489</v>
      </c>
      <c r="CP39">
        <f t="shared" ca="1" si="14"/>
        <v>0.29045069381723754</v>
      </c>
    </row>
    <row r="40" spans="1:96" x14ac:dyDescent="0.35">
      <c r="A40">
        <v>1222603047</v>
      </c>
      <c r="B40" t="s">
        <v>441</v>
      </c>
      <c r="C40" t="s">
        <v>399</v>
      </c>
      <c r="D40" t="s">
        <v>93</v>
      </c>
      <c r="E40">
        <v>4000</v>
      </c>
      <c r="F40" t="s">
        <v>94</v>
      </c>
      <c r="G40" t="s">
        <v>95</v>
      </c>
      <c r="H40" t="s">
        <v>96</v>
      </c>
      <c r="I40" t="s">
        <v>203</v>
      </c>
      <c r="J40" t="s">
        <v>98</v>
      </c>
      <c r="K40" s="6">
        <f t="shared" si="0"/>
        <v>8722.7547599999998</v>
      </c>
      <c r="L40" t="s">
        <v>99</v>
      </c>
      <c r="M40" t="s">
        <v>100</v>
      </c>
      <c r="N40" t="s">
        <v>204</v>
      </c>
      <c r="O40" t="s">
        <v>96</v>
      </c>
      <c r="P40" t="s">
        <v>96</v>
      </c>
      <c r="Q40" t="s">
        <v>400</v>
      </c>
      <c r="R40" t="s">
        <v>206</v>
      </c>
      <c r="S40" t="s">
        <v>104</v>
      </c>
      <c r="T40">
        <v>0</v>
      </c>
      <c r="U40">
        <v>30</v>
      </c>
      <c r="V40">
        <v>30</v>
      </c>
      <c r="W40" t="s">
        <v>105</v>
      </c>
      <c r="X40" t="s">
        <v>106</v>
      </c>
      <c r="Y40" t="s">
        <v>107</v>
      </c>
      <c r="Z40" t="s">
        <v>108</v>
      </c>
      <c r="AA40">
        <v>486</v>
      </c>
      <c r="AB40">
        <v>501</v>
      </c>
      <c r="AC40" t="s">
        <v>109</v>
      </c>
      <c r="AD40" t="s">
        <v>207</v>
      </c>
      <c r="AE40" s="3">
        <v>847130000000</v>
      </c>
      <c r="AF40" t="s">
        <v>154</v>
      </c>
      <c r="AG40" t="s">
        <v>206</v>
      </c>
      <c r="AH40" t="s">
        <v>112</v>
      </c>
      <c r="AI40">
        <v>10</v>
      </c>
      <c r="AJ40">
        <v>162</v>
      </c>
      <c r="AK40">
        <v>167</v>
      </c>
      <c r="AL40" t="s">
        <v>113</v>
      </c>
      <c r="AM40" s="6">
        <v>1961.54</v>
      </c>
      <c r="AN40" s="6">
        <f>AM40*1.08</f>
        <v>2118.4632000000001</v>
      </c>
      <c r="AO40" s="6">
        <f t="shared" si="1"/>
        <v>196.154</v>
      </c>
      <c r="AP40" s="6">
        <f t="shared" si="2"/>
        <v>58.846199999999996</v>
      </c>
      <c r="AQ40" s="6">
        <f t="shared" si="3"/>
        <v>2216.5401999999999</v>
      </c>
      <c r="AR40">
        <v>501</v>
      </c>
      <c r="AS40" s="6">
        <v>0</v>
      </c>
      <c r="AT40" s="6">
        <v>0</v>
      </c>
      <c r="AU40" s="6">
        <f>AQ40*1.2</f>
        <v>2659.8482399999998</v>
      </c>
      <c r="AV40" s="6">
        <f t="shared" si="18"/>
        <v>443.30803999999989</v>
      </c>
      <c r="AW40" s="6">
        <f t="shared" si="19"/>
        <v>2659.8482399999998</v>
      </c>
      <c r="AX40" t="s">
        <v>114</v>
      </c>
      <c r="AY40" t="s">
        <v>401</v>
      </c>
      <c r="AZ40" s="3">
        <v>851713000000</v>
      </c>
      <c r="BA40" t="s">
        <v>156</v>
      </c>
      <c r="BB40" t="s">
        <v>206</v>
      </c>
      <c r="BC40" t="s">
        <v>112</v>
      </c>
      <c r="BD40">
        <v>15</v>
      </c>
      <c r="BE40">
        <v>162</v>
      </c>
      <c r="BF40">
        <v>167</v>
      </c>
      <c r="BG40" t="s">
        <v>113</v>
      </c>
      <c r="BH40" s="6">
        <v>1751.9</v>
      </c>
      <c r="BI40" s="6">
        <f>BH40*1.08</f>
        <v>1892.0520000000001</v>
      </c>
      <c r="BJ40" s="6">
        <f t="shared" si="4"/>
        <v>175.19000000000003</v>
      </c>
      <c r="BK40" s="6">
        <f t="shared" si="5"/>
        <v>52.557000000000002</v>
      </c>
      <c r="BL40" s="6">
        <f t="shared" si="6"/>
        <v>1979.6470000000002</v>
      </c>
      <c r="BM40" s="6">
        <v>602</v>
      </c>
      <c r="BN40" s="6">
        <v>0</v>
      </c>
      <c r="BO40" s="6">
        <f>BL40*1.5</f>
        <v>2969.4705000000004</v>
      </c>
      <c r="BP40" s="6">
        <f>BO40*1.2</f>
        <v>3563.3646000000003</v>
      </c>
      <c r="BQ40" s="6">
        <f t="shared" si="7"/>
        <v>1583.7176000000002</v>
      </c>
      <c r="BR40" s="6">
        <f t="shared" si="8"/>
        <v>3563.3646000000003</v>
      </c>
      <c r="BS40" t="s">
        <v>114</v>
      </c>
      <c r="BT40" t="s">
        <v>402</v>
      </c>
      <c r="BU40" s="3">
        <v>701349100000</v>
      </c>
      <c r="BV40" t="s">
        <v>158</v>
      </c>
      <c r="BW40" t="s">
        <v>206</v>
      </c>
      <c r="BX40" t="s">
        <v>112</v>
      </c>
      <c r="BY40">
        <v>18</v>
      </c>
      <c r="BZ40">
        <v>162</v>
      </c>
      <c r="CA40">
        <v>167</v>
      </c>
      <c r="CB40" t="s">
        <v>113</v>
      </c>
      <c r="CC40" s="6">
        <v>1843.32</v>
      </c>
      <c r="CD40" s="6">
        <f>CC40*1.08</f>
        <v>1990.7856000000002</v>
      </c>
      <c r="CE40" s="6">
        <f t="shared" si="9"/>
        <v>184.33199999999999</v>
      </c>
      <c r="CF40" s="6">
        <f t="shared" si="10"/>
        <v>55.299599999999998</v>
      </c>
      <c r="CG40" s="6">
        <f t="shared" si="11"/>
        <v>2082.9515999999999</v>
      </c>
      <c r="CH40" s="6">
        <v>501</v>
      </c>
      <c r="CI40" s="6">
        <v>0</v>
      </c>
      <c r="CJ40" s="6">
        <v>0</v>
      </c>
      <c r="CK40" s="6">
        <f>CG40*1.2</f>
        <v>2499.5419199999997</v>
      </c>
      <c r="CL40" s="6">
        <f t="shared" si="12"/>
        <v>416.59031999999979</v>
      </c>
      <c r="CM40" s="6">
        <f t="shared" si="13"/>
        <v>2499.5419199999997</v>
      </c>
      <c r="CN40" t="s">
        <v>114</v>
      </c>
      <c r="CO40" t="s">
        <v>403</v>
      </c>
      <c r="CP40">
        <f t="shared" ca="1" si="14"/>
        <v>0.63737052776167213</v>
      </c>
    </row>
    <row r="41" spans="1:96" x14ac:dyDescent="0.35">
      <c r="A41">
        <v>1222603048</v>
      </c>
      <c r="B41" t="s">
        <v>447</v>
      </c>
      <c r="C41" t="s">
        <v>509</v>
      </c>
      <c r="D41" t="s">
        <v>93</v>
      </c>
      <c r="E41">
        <v>4000</v>
      </c>
      <c r="F41" t="s">
        <v>94</v>
      </c>
      <c r="G41" t="s">
        <v>95</v>
      </c>
      <c r="H41" t="s">
        <v>96</v>
      </c>
      <c r="I41" t="s">
        <v>124</v>
      </c>
      <c r="J41" t="s">
        <v>98</v>
      </c>
      <c r="K41" s="6">
        <f t="shared" si="0"/>
        <v>2194.8965189999999</v>
      </c>
      <c r="L41" t="s">
        <v>99</v>
      </c>
      <c r="M41" t="s">
        <v>100</v>
      </c>
      <c r="N41" t="s">
        <v>125</v>
      </c>
      <c r="O41" t="s">
        <v>96</v>
      </c>
      <c r="P41" t="s">
        <v>96</v>
      </c>
      <c r="Q41" t="s">
        <v>510</v>
      </c>
      <c r="R41" t="s">
        <v>127</v>
      </c>
      <c r="S41" t="s">
        <v>104</v>
      </c>
      <c r="T41">
        <v>0</v>
      </c>
      <c r="U41">
        <v>30</v>
      </c>
      <c r="V41">
        <v>30</v>
      </c>
      <c r="W41" t="s">
        <v>105</v>
      </c>
      <c r="X41" t="s">
        <v>106</v>
      </c>
      <c r="Y41" t="s">
        <v>107</v>
      </c>
      <c r="Z41" t="s">
        <v>108</v>
      </c>
      <c r="AA41">
        <v>594</v>
      </c>
      <c r="AB41">
        <v>609</v>
      </c>
      <c r="AC41" t="s">
        <v>109</v>
      </c>
      <c r="AD41" t="s">
        <v>425</v>
      </c>
      <c r="AE41" s="3">
        <v>190531990000</v>
      </c>
      <c r="AF41" t="s">
        <v>111</v>
      </c>
      <c r="AG41" t="s">
        <v>127</v>
      </c>
      <c r="AH41" t="s">
        <v>112</v>
      </c>
      <c r="AI41">
        <v>5</v>
      </c>
      <c r="AJ41">
        <v>198</v>
      </c>
      <c r="AK41">
        <v>203</v>
      </c>
      <c r="AL41" t="s">
        <v>113</v>
      </c>
      <c r="AM41" s="6">
        <v>547.28</v>
      </c>
      <c r="AN41" s="6">
        <f>AM41*1.08</f>
        <v>591.06240000000003</v>
      </c>
      <c r="AO41" s="6">
        <f t="shared" si="1"/>
        <v>54.728000000000002</v>
      </c>
      <c r="AP41" s="6">
        <f t="shared" si="2"/>
        <v>16.418399999999998</v>
      </c>
      <c r="AQ41" s="6">
        <f t="shared" si="3"/>
        <v>618.42639999999994</v>
      </c>
      <c r="AR41">
        <v>501</v>
      </c>
      <c r="AS41" s="6">
        <v>0</v>
      </c>
      <c r="AT41" s="6">
        <v>0</v>
      </c>
      <c r="AU41" s="6">
        <f>AQ41*1.2</f>
        <v>742.11167999999986</v>
      </c>
      <c r="AV41" s="6">
        <f t="shared" si="18"/>
        <v>123.68527999999992</v>
      </c>
      <c r="AW41" s="6">
        <f t="shared" si="19"/>
        <v>742.11167999999986</v>
      </c>
      <c r="AX41" t="s">
        <v>114</v>
      </c>
      <c r="AY41" t="s">
        <v>511</v>
      </c>
      <c r="AZ41" s="3">
        <v>804100000000</v>
      </c>
      <c r="BA41" t="s">
        <v>116</v>
      </c>
      <c r="BB41" t="s">
        <v>127</v>
      </c>
      <c r="BC41" t="s">
        <v>117</v>
      </c>
      <c r="BD41">
        <v>18</v>
      </c>
      <c r="BE41">
        <v>198</v>
      </c>
      <c r="BF41">
        <v>203</v>
      </c>
      <c r="BG41" t="s">
        <v>113</v>
      </c>
      <c r="BH41" s="6">
        <v>629.98</v>
      </c>
      <c r="BI41" s="6">
        <f>BH41*1.08</f>
        <v>680.37840000000006</v>
      </c>
      <c r="BJ41" s="6">
        <f t="shared" si="4"/>
        <v>62.998000000000005</v>
      </c>
      <c r="BK41" s="6">
        <f t="shared" si="5"/>
        <v>18.8994</v>
      </c>
      <c r="BL41" s="6">
        <f t="shared" si="6"/>
        <v>711.87740000000008</v>
      </c>
      <c r="BM41" s="6">
        <v>501</v>
      </c>
      <c r="BN41" s="6">
        <v>0</v>
      </c>
      <c r="BO41" s="6">
        <v>0</v>
      </c>
      <c r="BP41" s="6">
        <f>BL41*1.2</f>
        <v>854.25288000000012</v>
      </c>
      <c r="BQ41" s="6">
        <f t="shared" si="7"/>
        <v>142.37548000000004</v>
      </c>
      <c r="BR41" s="6">
        <f t="shared" si="8"/>
        <v>854.25288000000012</v>
      </c>
      <c r="BS41" t="s">
        <v>118</v>
      </c>
      <c r="BT41" t="s">
        <v>512</v>
      </c>
      <c r="BU41" s="3">
        <v>100199000000</v>
      </c>
      <c r="BV41" t="s">
        <v>120</v>
      </c>
      <c r="BW41" t="s">
        <v>127</v>
      </c>
      <c r="BX41" t="s">
        <v>117</v>
      </c>
      <c r="BY41">
        <v>13</v>
      </c>
      <c r="BZ41">
        <v>198</v>
      </c>
      <c r="CA41">
        <v>203</v>
      </c>
      <c r="CB41" t="s">
        <v>113</v>
      </c>
      <c r="CC41" s="6">
        <v>524.42999999999995</v>
      </c>
      <c r="CD41" s="6">
        <f>CC41*1.08</f>
        <v>566.38440000000003</v>
      </c>
      <c r="CE41" s="6">
        <f t="shared" si="9"/>
        <v>52.442999999999998</v>
      </c>
      <c r="CF41" s="6">
        <f t="shared" si="10"/>
        <v>15.732899999999997</v>
      </c>
      <c r="CG41" s="6">
        <f t="shared" si="11"/>
        <v>592.60589999999991</v>
      </c>
      <c r="CH41" s="6">
        <v>501</v>
      </c>
      <c r="CI41" s="6">
        <v>0</v>
      </c>
      <c r="CJ41" s="6">
        <v>0</v>
      </c>
      <c r="CK41" s="6">
        <f>CG41*1.01</f>
        <v>598.53195899999992</v>
      </c>
      <c r="CL41" s="6">
        <f t="shared" si="12"/>
        <v>5.9260590000000093</v>
      </c>
      <c r="CM41" s="6">
        <f t="shared" si="13"/>
        <v>598.53195899999992</v>
      </c>
      <c r="CN41" t="s">
        <v>118</v>
      </c>
      <c r="CO41" t="s">
        <v>513</v>
      </c>
      <c r="CP41">
        <f t="shared" ca="1" si="14"/>
        <v>0.35208801668260592</v>
      </c>
    </row>
    <row r="42" spans="1:96" x14ac:dyDescent="0.35">
      <c r="A42">
        <v>1222603049</v>
      </c>
      <c r="B42" t="s">
        <v>453</v>
      </c>
      <c r="C42" t="s">
        <v>221</v>
      </c>
      <c r="D42" t="s">
        <v>93</v>
      </c>
      <c r="E42">
        <v>4000</v>
      </c>
      <c r="F42" t="s">
        <v>94</v>
      </c>
      <c r="G42" t="s">
        <v>95</v>
      </c>
      <c r="H42" t="s">
        <v>96</v>
      </c>
      <c r="I42" t="s">
        <v>222</v>
      </c>
      <c r="J42" t="s">
        <v>98</v>
      </c>
      <c r="K42" s="6">
        <f t="shared" si="0"/>
        <v>1951.7450399999998</v>
      </c>
      <c r="L42" t="s">
        <v>99</v>
      </c>
      <c r="M42" t="s">
        <v>100</v>
      </c>
      <c r="N42" t="s">
        <v>223</v>
      </c>
      <c r="O42" t="s">
        <v>96</v>
      </c>
      <c r="P42" t="s">
        <v>96</v>
      </c>
      <c r="Q42" t="s">
        <v>224</v>
      </c>
      <c r="R42" t="s">
        <v>225</v>
      </c>
      <c r="S42" t="s">
        <v>104</v>
      </c>
      <c r="T42">
        <v>0</v>
      </c>
      <c r="U42">
        <v>30</v>
      </c>
      <c r="V42">
        <v>30</v>
      </c>
      <c r="W42" t="s">
        <v>105</v>
      </c>
      <c r="X42" t="s">
        <v>106</v>
      </c>
      <c r="Y42" t="s">
        <v>107</v>
      </c>
      <c r="Z42" t="s">
        <v>108</v>
      </c>
      <c r="AA42">
        <v>354</v>
      </c>
      <c r="AB42">
        <v>369</v>
      </c>
      <c r="AC42" t="s">
        <v>109</v>
      </c>
      <c r="AD42" t="s">
        <v>207</v>
      </c>
      <c r="AE42" s="3">
        <v>610910000000</v>
      </c>
      <c r="AF42" t="s">
        <v>141</v>
      </c>
      <c r="AG42" t="s">
        <v>225</v>
      </c>
      <c r="AH42" t="s">
        <v>142</v>
      </c>
      <c r="AI42">
        <v>17</v>
      </c>
      <c r="AJ42">
        <v>118</v>
      </c>
      <c r="AK42">
        <v>123</v>
      </c>
      <c r="AL42" t="s">
        <v>113</v>
      </c>
      <c r="AM42" s="6">
        <v>450.29</v>
      </c>
      <c r="AN42" s="6">
        <f>AM42*1.08</f>
        <v>486.31320000000005</v>
      </c>
      <c r="AO42" s="6">
        <f t="shared" si="1"/>
        <v>45.029000000000003</v>
      </c>
      <c r="AP42" s="6">
        <f t="shared" si="2"/>
        <v>13.508699999999999</v>
      </c>
      <c r="AQ42" s="6">
        <f t="shared" si="3"/>
        <v>508.82769999999999</v>
      </c>
      <c r="AR42">
        <v>501</v>
      </c>
      <c r="AS42" s="6">
        <v>0</v>
      </c>
      <c r="AT42" s="6">
        <v>0</v>
      </c>
      <c r="AU42" s="6">
        <f>AQ42*1.2</f>
        <v>610.59323999999992</v>
      </c>
      <c r="AV42" s="6">
        <f t="shared" si="18"/>
        <v>101.76553999999993</v>
      </c>
      <c r="AW42" s="6">
        <f t="shared" si="19"/>
        <v>610.59323999999992</v>
      </c>
      <c r="AX42" t="s">
        <v>114</v>
      </c>
      <c r="AY42" t="s">
        <v>226</v>
      </c>
      <c r="AZ42" s="3">
        <v>620342000000</v>
      </c>
      <c r="BA42" t="s">
        <v>144</v>
      </c>
      <c r="BB42" t="s">
        <v>225</v>
      </c>
      <c r="BC42" t="s">
        <v>142</v>
      </c>
      <c r="BD42">
        <v>20</v>
      </c>
      <c r="BE42">
        <v>118</v>
      </c>
      <c r="BF42">
        <v>123</v>
      </c>
      <c r="BG42" t="s">
        <v>113</v>
      </c>
      <c r="BH42" s="6">
        <v>504.14</v>
      </c>
      <c r="BI42" s="6">
        <f>BH42*1.08</f>
        <v>544.47120000000007</v>
      </c>
      <c r="BJ42" s="6">
        <f t="shared" si="4"/>
        <v>50.414000000000001</v>
      </c>
      <c r="BK42" s="6">
        <f t="shared" si="5"/>
        <v>15.124199999999998</v>
      </c>
      <c r="BL42" s="6">
        <f t="shared" si="6"/>
        <v>569.67819999999995</v>
      </c>
      <c r="BM42" s="6">
        <v>501</v>
      </c>
      <c r="BN42" s="6">
        <v>0</v>
      </c>
      <c r="BO42" s="6">
        <v>0</v>
      </c>
      <c r="BP42" s="6">
        <f>BL42*1.2</f>
        <v>683.61383999999987</v>
      </c>
      <c r="BQ42" s="6">
        <f t="shared" si="7"/>
        <v>113.93563999999992</v>
      </c>
      <c r="BR42" s="6">
        <f t="shared" si="8"/>
        <v>683.61383999999987</v>
      </c>
      <c r="BS42" t="s">
        <v>114</v>
      </c>
      <c r="BT42" t="s">
        <v>227</v>
      </c>
      <c r="BU42" s="3">
        <v>520512000000</v>
      </c>
      <c r="BV42" t="s">
        <v>146</v>
      </c>
      <c r="BW42" t="s">
        <v>225</v>
      </c>
      <c r="BX42" t="s">
        <v>142</v>
      </c>
      <c r="BY42">
        <v>12</v>
      </c>
      <c r="BZ42">
        <v>118</v>
      </c>
      <c r="CA42">
        <v>123</v>
      </c>
      <c r="CB42" t="s">
        <v>113</v>
      </c>
      <c r="CC42" s="6">
        <v>484.91</v>
      </c>
      <c r="CD42" s="6">
        <f>CC42*1.08</f>
        <v>523.70280000000002</v>
      </c>
      <c r="CE42" s="6">
        <f t="shared" si="9"/>
        <v>48.491000000000007</v>
      </c>
      <c r="CF42" s="6">
        <f t="shared" si="10"/>
        <v>14.5473</v>
      </c>
      <c r="CG42" s="6">
        <f t="shared" si="11"/>
        <v>547.94830000000002</v>
      </c>
      <c r="CH42" s="6">
        <v>501</v>
      </c>
      <c r="CI42" s="6">
        <v>0</v>
      </c>
      <c r="CJ42" s="6">
        <v>0</v>
      </c>
      <c r="CK42" s="6">
        <f>CG42*1.2</f>
        <v>657.53796</v>
      </c>
      <c r="CL42" s="6">
        <f t="shared" si="12"/>
        <v>109.58965999999998</v>
      </c>
      <c r="CM42" s="6">
        <f t="shared" si="13"/>
        <v>657.53796</v>
      </c>
      <c r="CN42" t="s">
        <v>114</v>
      </c>
      <c r="CO42" t="s">
        <v>228</v>
      </c>
      <c r="CP42">
        <f t="shared" ca="1" si="14"/>
        <v>0.48889582411648391</v>
      </c>
    </row>
    <row r="43" spans="1:96" x14ac:dyDescent="0.35">
      <c r="A43">
        <v>1222603050</v>
      </c>
      <c r="B43" t="s">
        <v>459</v>
      </c>
      <c r="C43" t="s">
        <v>515</v>
      </c>
      <c r="D43" t="s">
        <v>93</v>
      </c>
      <c r="E43">
        <v>4000</v>
      </c>
      <c r="F43" t="s">
        <v>94</v>
      </c>
      <c r="G43" t="s">
        <v>95</v>
      </c>
      <c r="H43" t="s">
        <v>96</v>
      </c>
      <c r="I43" t="s">
        <v>137</v>
      </c>
      <c r="J43" t="s">
        <v>98</v>
      </c>
      <c r="K43" s="6">
        <f t="shared" si="0"/>
        <v>3320.4390305999996</v>
      </c>
      <c r="L43" t="s">
        <v>99</v>
      </c>
      <c r="M43" t="s">
        <v>100</v>
      </c>
      <c r="N43" t="s">
        <v>138</v>
      </c>
      <c r="O43" t="s">
        <v>96</v>
      </c>
      <c r="P43" t="s">
        <v>96</v>
      </c>
      <c r="Q43" t="s">
        <v>516</v>
      </c>
      <c r="R43" t="s">
        <v>140</v>
      </c>
      <c r="S43" t="s">
        <v>104</v>
      </c>
      <c r="T43">
        <v>0</v>
      </c>
      <c r="U43">
        <v>30</v>
      </c>
      <c r="V43">
        <v>30</v>
      </c>
      <c r="W43" t="s">
        <v>105</v>
      </c>
      <c r="X43" t="s">
        <v>106</v>
      </c>
      <c r="Y43" t="s">
        <v>107</v>
      </c>
      <c r="Z43" t="s">
        <v>108</v>
      </c>
      <c r="AA43">
        <v>600</v>
      </c>
      <c r="AB43">
        <v>615</v>
      </c>
      <c r="AC43" t="s">
        <v>109</v>
      </c>
      <c r="AD43" t="s">
        <v>298</v>
      </c>
      <c r="AE43" s="3">
        <v>292241000000</v>
      </c>
      <c r="AF43" t="s">
        <v>129</v>
      </c>
      <c r="AG43" t="s">
        <v>140</v>
      </c>
      <c r="AH43" t="s">
        <v>112</v>
      </c>
      <c r="AI43">
        <v>11</v>
      </c>
      <c r="AJ43">
        <v>200</v>
      </c>
      <c r="AK43">
        <v>205</v>
      </c>
      <c r="AL43" t="s">
        <v>113</v>
      </c>
      <c r="AM43" s="6">
        <v>891.46</v>
      </c>
      <c r="AN43" s="6">
        <f>AM43*1.08</f>
        <v>962.77680000000009</v>
      </c>
      <c r="AO43" s="6">
        <f t="shared" si="1"/>
        <v>89.146000000000015</v>
      </c>
      <c r="AP43" s="6">
        <f t="shared" si="2"/>
        <v>26.7438</v>
      </c>
      <c r="AQ43" s="6">
        <f t="shared" si="3"/>
        <v>1007.3498</v>
      </c>
      <c r="AR43">
        <v>501</v>
      </c>
      <c r="AS43" s="6">
        <v>0</v>
      </c>
      <c r="AT43" s="6">
        <v>0</v>
      </c>
      <c r="AU43" s="6">
        <f>AQ43*1.2</f>
        <v>1208.8197599999999</v>
      </c>
      <c r="AV43" s="6">
        <f t="shared" si="18"/>
        <v>201.4699599999999</v>
      </c>
      <c r="AW43" s="6">
        <f t="shared" si="19"/>
        <v>1208.8197599999999</v>
      </c>
      <c r="AX43" t="s">
        <v>114</v>
      </c>
      <c r="AY43" t="s">
        <v>517</v>
      </c>
      <c r="AZ43" s="3">
        <v>390110900000</v>
      </c>
      <c r="BA43" t="s">
        <v>131</v>
      </c>
      <c r="BB43" t="s">
        <v>140</v>
      </c>
      <c r="BC43" t="s">
        <v>117</v>
      </c>
      <c r="BD43">
        <v>5</v>
      </c>
      <c r="BE43">
        <v>200</v>
      </c>
      <c r="BF43">
        <v>205</v>
      </c>
      <c r="BG43" t="s">
        <v>113</v>
      </c>
      <c r="BH43" s="6">
        <v>752.79</v>
      </c>
      <c r="BI43" s="6">
        <f>BH43*1.08</f>
        <v>813.01319999999998</v>
      </c>
      <c r="BJ43" s="6">
        <f t="shared" si="4"/>
        <v>75.278999999999996</v>
      </c>
      <c r="BK43" s="6">
        <f t="shared" si="5"/>
        <v>22.583699999999997</v>
      </c>
      <c r="BL43" s="6">
        <f t="shared" si="6"/>
        <v>850.65269999999998</v>
      </c>
      <c r="BM43" s="6">
        <v>501</v>
      </c>
      <c r="BN43" s="6">
        <f>BL43*1.065</f>
        <v>905.9451254999999</v>
      </c>
      <c r="BO43" s="6">
        <v>0</v>
      </c>
      <c r="BP43" s="6">
        <f>BN43*1.2</f>
        <v>1087.1341505999999</v>
      </c>
      <c r="BQ43" s="6">
        <f t="shared" si="7"/>
        <v>236.4814505999999</v>
      </c>
      <c r="BR43" s="6">
        <f t="shared" si="8"/>
        <v>1087.1341505999999</v>
      </c>
      <c r="BS43" t="s">
        <v>114</v>
      </c>
      <c r="BT43" t="s">
        <v>518</v>
      </c>
      <c r="BU43" s="3">
        <v>310210100000</v>
      </c>
      <c r="BV43" t="s">
        <v>133</v>
      </c>
      <c r="BW43" t="s">
        <v>140</v>
      </c>
      <c r="BX43" t="s">
        <v>117</v>
      </c>
      <c r="BY43">
        <v>18</v>
      </c>
      <c r="BZ43">
        <v>200</v>
      </c>
      <c r="CA43">
        <v>205</v>
      </c>
      <c r="CB43" t="s">
        <v>113</v>
      </c>
      <c r="CC43" s="6">
        <v>755.52</v>
      </c>
      <c r="CD43" s="6">
        <f>CC43*1.08</f>
        <v>815.96160000000009</v>
      </c>
      <c r="CE43" s="6">
        <f t="shared" si="9"/>
        <v>75.552000000000007</v>
      </c>
      <c r="CF43" s="6">
        <f t="shared" si="10"/>
        <v>22.665599999999998</v>
      </c>
      <c r="CG43" s="6">
        <f t="shared" si="11"/>
        <v>853.73760000000004</v>
      </c>
      <c r="CH43" s="6">
        <v>501</v>
      </c>
      <c r="CI43" s="6">
        <v>0</v>
      </c>
      <c r="CJ43" s="6">
        <v>0</v>
      </c>
      <c r="CK43" s="6">
        <f>CG43*1.2</f>
        <v>1024.4851200000001</v>
      </c>
      <c r="CL43" s="6">
        <f t="shared" si="12"/>
        <v>170.74752000000001</v>
      </c>
      <c r="CM43" s="6">
        <f t="shared" si="13"/>
        <v>1024.4851200000001</v>
      </c>
      <c r="CN43" t="s">
        <v>114</v>
      </c>
      <c r="CO43" t="s">
        <v>519</v>
      </c>
      <c r="CP43">
        <f t="shared" ca="1" si="14"/>
        <v>0.61579633964306557</v>
      </c>
    </row>
    <row r="44" spans="1:96" x14ac:dyDescent="0.35">
      <c r="A44">
        <v>1222603051</v>
      </c>
      <c r="B44" t="s">
        <v>465</v>
      </c>
      <c r="C44" t="s">
        <v>330</v>
      </c>
      <c r="D44" t="s">
        <v>93</v>
      </c>
      <c r="E44">
        <v>4000</v>
      </c>
      <c r="F44" t="s">
        <v>94</v>
      </c>
      <c r="G44" t="s">
        <v>95</v>
      </c>
      <c r="H44" t="s">
        <v>96</v>
      </c>
      <c r="I44" t="s">
        <v>331</v>
      </c>
      <c r="J44" t="s">
        <v>176</v>
      </c>
      <c r="K44" s="6">
        <f t="shared" si="0"/>
        <v>2588.8286439999997</v>
      </c>
      <c r="L44" t="s">
        <v>99</v>
      </c>
      <c r="M44" t="s">
        <v>100</v>
      </c>
      <c r="N44" t="s">
        <v>332</v>
      </c>
      <c r="O44" t="s">
        <v>96</v>
      </c>
      <c r="P44" t="s">
        <v>96</v>
      </c>
      <c r="Q44" t="s">
        <v>333</v>
      </c>
      <c r="R44" t="s">
        <v>334</v>
      </c>
      <c r="S44" t="s">
        <v>104</v>
      </c>
      <c r="T44">
        <v>0</v>
      </c>
      <c r="U44">
        <v>30</v>
      </c>
      <c r="V44">
        <v>30</v>
      </c>
      <c r="W44" t="s">
        <v>105</v>
      </c>
      <c r="X44" t="s">
        <v>106</v>
      </c>
      <c r="Y44" t="s">
        <v>107</v>
      </c>
      <c r="Z44" t="s">
        <v>108</v>
      </c>
      <c r="AA44">
        <v>426</v>
      </c>
      <c r="AB44">
        <v>441</v>
      </c>
      <c r="AC44" t="s">
        <v>109</v>
      </c>
      <c r="AD44" t="s">
        <v>193</v>
      </c>
      <c r="AE44" s="3">
        <v>190531990000</v>
      </c>
      <c r="AF44" t="s">
        <v>111</v>
      </c>
      <c r="AG44" t="s">
        <v>334</v>
      </c>
      <c r="AH44" t="s">
        <v>112</v>
      </c>
      <c r="AI44">
        <v>17</v>
      </c>
      <c r="AJ44">
        <v>142</v>
      </c>
      <c r="AK44">
        <v>147</v>
      </c>
      <c r="AL44" t="s">
        <v>113</v>
      </c>
      <c r="AM44" s="6">
        <v>676.42</v>
      </c>
      <c r="AN44" s="6">
        <v>1939.38</v>
      </c>
      <c r="AO44" s="6">
        <f t="shared" si="1"/>
        <v>67.641999999999996</v>
      </c>
      <c r="AP44" s="6">
        <f t="shared" si="2"/>
        <v>20.292599999999997</v>
      </c>
      <c r="AQ44" s="6">
        <f t="shared" si="3"/>
        <v>764.35459999999989</v>
      </c>
      <c r="AR44">
        <v>501</v>
      </c>
      <c r="AS44" s="6">
        <f>AQ44*1.1</f>
        <v>840.79005999999993</v>
      </c>
      <c r="AT44" s="6">
        <v>0</v>
      </c>
      <c r="AU44" s="6">
        <f>AS44*1.2</f>
        <v>1008.9480719999999</v>
      </c>
      <c r="AV44" s="6">
        <f t="shared" si="18"/>
        <v>244.59347200000002</v>
      </c>
      <c r="AW44" s="6">
        <f t="shared" si="19"/>
        <v>1008.9480719999999</v>
      </c>
      <c r="AX44" t="s">
        <v>118</v>
      </c>
      <c r="AY44" t="s">
        <v>335</v>
      </c>
      <c r="AZ44" s="3">
        <v>804100000000</v>
      </c>
      <c r="BA44" t="s">
        <v>116</v>
      </c>
      <c r="BB44" t="s">
        <v>334</v>
      </c>
      <c r="BC44" t="s">
        <v>117</v>
      </c>
      <c r="BD44">
        <v>8</v>
      </c>
      <c r="BE44">
        <v>142</v>
      </c>
      <c r="BF44">
        <v>147</v>
      </c>
      <c r="BG44" t="s">
        <v>113</v>
      </c>
      <c r="BH44" s="6">
        <v>644.91999999999996</v>
      </c>
      <c r="BI44" s="6">
        <v>1939.38</v>
      </c>
      <c r="BJ44" s="6">
        <f t="shared" si="4"/>
        <v>64.492000000000004</v>
      </c>
      <c r="BK44" s="6">
        <f t="shared" si="5"/>
        <v>19.347599999999996</v>
      </c>
      <c r="BL44" s="6">
        <f t="shared" si="6"/>
        <v>728.75959999999986</v>
      </c>
      <c r="BM44" s="6">
        <v>501</v>
      </c>
      <c r="BN44" s="6">
        <v>0</v>
      </c>
      <c r="BO44" s="6">
        <v>0</v>
      </c>
      <c r="BP44" s="6">
        <f>BL44*1.2</f>
        <v>874.51151999999979</v>
      </c>
      <c r="BQ44" s="6">
        <f t="shared" si="7"/>
        <v>145.75191999999993</v>
      </c>
      <c r="BR44" s="6">
        <f t="shared" si="8"/>
        <v>874.51151999999979</v>
      </c>
      <c r="BS44" t="s">
        <v>118</v>
      </c>
      <c r="BT44" t="s">
        <v>336</v>
      </c>
      <c r="BU44" s="3">
        <v>100199000000</v>
      </c>
      <c r="BV44" t="s">
        <v>120</v>
      </c>
      <c r="BW44" t="s">
        <v>334</v>
      </c>
      <c r="BX44" t="s">
        <v>117</v>
      </c>
      <c r="BY44">
        <v>15</v>
      </c>
      <c r="BZ44">
        <v>142</v>
      </c>
      <c r="CA44">
        <v>147</v>
      </c>
      <c r="CB44" t="s">
        <v>113</v>
      </c>
      <c r="CC44" s="6">
        <v>618.04</v>
      </c>
      <c r="CD44" s="6">
        <v>1939.38</v>
      </c>
      <c r="CE44" s="6">
        <f t="shared" si="9"/>
        <v>61.804000000000002</v>
      </c>
      <c r="CF44" s="6">
        <f t="shared" si="10"/>
        <v>18.5412</v>
      </c>
      <c r="CG44" s="6">
        <f t="shared" si="11"/>
        <v>698.38519999999994</v>
      </c>
      <c r="CH44" s="6">
        <v>501</v>
      </c>
      <c r="CI44" s="6">
        <v>0</v>
      </c>
      <c r="CJ44" s="6">
        <v>0</v>
      </c>
      <c r="CK44" s="6">
        <f>CG44*1.01</f>
        <v>705.3690519999999</v>
      </c>
      <c r="CL44" s="6">
        <f t="shared" si="12"/>
        <v>6.9838519999999562</v>
      </c>
      <c r="CM44" s="6">
        <f t="shared" si="13"/>
        <v>705.3690519999999</v>
      </c>
      <c r="CN44" t="s">
        <v>118</v>
      </c>
      <c r="CO44" t="s">
        <v>337</v>
      </c>
      <c r="CP44">
        <f t="shared" ca="1" si="14"/>
        <v>0.41795499026620386</v>
      </c>
    </row>
    <row r="45" spans="1:96" x14ac:dyDescent="0.35">
      <c r="A45">
        <v>1222603052</v>
      </c>
      <c r="B45" t="s">
        <v>472</v>
      </c>
      <c r="C45" t="s">
        <v>161</v>
      </c>
      <c r="D45" t="s">
        <v>93</v>
      </c>
      <c r="E45">
        <v>4000</v>
      </c>
      <c r="F45" t="s">
        <v>94</v>
      </c>
      <c r="G45" t="s">
        <v>95</v>
      </c>
      <c r="H45" t="s">
        <v>96</v>
      </c>
      <c r="I45" t="s">
        <v>162</v>
      </c>
      <c r="J45" t="s">
        <v>98</v>
      </c>
      <c r="K45" s="6">
        <f t="shared" si="0"/>
        <v>7444.6051935999994</v>
      </c>
      <c r="L45" t="s">
        <v>99</v>
      </c>
      <c r="M45" t="s">
        <v>100</v>
      </c>
      <c r="N45" t="s">
        <v>163</v>
      </c>
      <c r="O45" t="s">
        <v>96</v>
      </c>
      <c r="P45" t="s">
        <v>96</v>
      </c>
      <c r="Q45" t="s">
        <v>164</v>
      </c>
      <c r="R45" t="s">
        <v>165</v>
      </c>
      <c r="S45" t="s">
        <v>104</v>
      </c>
      <c r="T45">
        <v>0</v>
      </c>
      <c r="U45">
        <v>30</v>
      </c>
      <c r="V45">
        <v>30</v>
      </c>
      <c r="W45" t="s">
        <v>105</v>
      </c>
      <c r="X45" t="s">
        <v>106</v>
      </c>
      <c r="Y45" t="s">
        <v>107</v>
      </c>
      <c r="Z45" t="s">
        <v>108</v>
      </c>
      <c r="AA45">
        <v>324</v>
      </c>
      <c r="AB45">
        <v>339</v>
      </c>
      <c r="AC45" t="s">
        <v>109</v>
      </c>
      <c r="AD45" t="s">
        <v>166</v>
      </c>
      <c r="AE45" s="3">
        <v>401110000000</v>
      </c>
      <c r="AF45" t="s">
        <v>167</v>
      </c>
      <c r="AG45" t="s">
        <v>165</v>
      </c>
      <c r="AH45" t="s">
        <v>112</v>
      </c>
      <c r="AI45">
        <v>18</v>
      </c>
      <c r="AJ45">
        <v>108</v>
      </c>
      <c r="AK45">
        <v>113</v>
      </c>
      <c r="AL45" t="s">
        <v>113</v>
      </c>
      <c r="AM45" s="6">
        <v>879.28</v>
      </c>
      <c r="AN45" s="6">
        <f>AM45*1.08</f>
        <v>949.62240000000008</v>
      </c>
      <c r="AO45" s="6">
        <f t="shared" si="1"/>
        <v>87.927999999999997</v>
      </c>
      <c r="AP45" s="6">
        <f t="shared" si="2"/>
        <v>26.378399999999999</v>
      </c>
      <c r="AQ45" s="6">
        <f t="shared" si="3"/>
        <v>993.58639999999991</v>
      </c>
      <c r="AR45">
        <v>501</v>
      </c>
      <c r="AS45" s="6">
        <v>0</v>
      </c>
      <c r="AT45" s="6">
        <v>0</v>
      </c>
      <c r="AU45" s="6">
        <f>AQ45*1.2</f>
        <v>1192.3036799999998</v>
      </c>
      <c r="AV45" s="6">
        <v>712.58</v>
      </c>
      <c r="AW45" s="6">
        <v>4275.49</v>
      </c>
      <c r="AX45" t="s">
        <v>114</v>
      </c>
      <c r="AY45" t="s">
        <v>168</v>
      </c>
      <c r="AZ45" s="3">
        <v>843141000000</v>
      </c>
      <c r="BA45" t="s">
        <v>169</v>
      </c>
      <c r="BB45" t="s">
        <v>165</v>
      </c>
      <c r="BC45" t="s">
        <v>112</v>
      </c>
      <c r="BD45">
        <v>14</v>
      </c>
      <c r="BE45">
        <v>108</v>
      </c>
      <c r="BF45">
        <v>113</v>
      </c>
      <c r="BG45" t="s">
        <v>113</v>
      </c>
      <c r="BH45" s="6">
        <v>968.55</v>
      </c>
      <c r="BI45" s="6">
        <f>BH45*1.08</f>
        <v>1046.0340000000001</v>
      </c>
      <c r="BJ45" s="6">
        <f t="shared" si="4"/>
        <v>96.855000000000004</v>
      </c>
      <c r="BK45" s="6">
        <f t="shared" si="5"/>
        <v>29.056499999999996</v>
      </c>
      <c r="BL45" s="6">
        <f t="shared" si="6"/>
        <v>1094.4614999999999</v>
      </c>
      <c r="BM45" s="6">
        <v>501</v>
      </c>
      <c r="BN45" s="6">
        <f>BL45*1.02</f>
        <v>1116.3507299999999</v>
      </c>
      <c r="BO45" s="6">
        <v>0</v>
      </c>
      <c r="BP45" s="6">
        <f>BN45*1.2</f>
        <v>1339.6208759999997</v>
      </c>
      <c r="BQ45" s="6">
        <f t="shared" si="7"/>
        <v>245.15937599999984</v>
      </c>
      <c r="BR45" s="6">
        <f t="shared" si="8"/>
        <v>1339.6208759999997</v>
      </c>
      <c r="BS45" t="s">
        <v>114</v>
      </c>
      <c r="BT45" t="s">
        <v>170</v>
      </c>
      <c r="BU45" s="3">
        <v>850421000000</v>
      </c>
      <c r="BV45" t="s">
        <v>171</v>
      </c>
      <c r="BW45" t="s">
        <v>165</v>
      </c>
      <c r="BX45" t="s">
        <v>112</v>
      </c>
      <c r="BY45">
        <v>11</v>
      </c>
      <c r="BZ45">
        <v>108</v>
      </c>
      <c r="CA45">
        <v>113</v>
      </c>
      <c r="CB45" t="s">
        <v>113</v>
      </c>
      <c r="CC45" s="6">
        <v>1322.73</v>
      </c>
      <c r="CD45" s="6">
        <f>CC45*1.08</f>
        <v>1428.5484000000001</v>
      </c>
      <c r="CE45" s="6">
        <f t="shared" si="9"/>
        <v>132.273</v>
      </c>
      <c r="CF45" s="6">
        <f t="shared" si="10"/>
        <v>39.681899999999999</v>
      </c>
      <c r="CG45" s="6">
        <f t="shared" si="11"/>
        <v>1494.6849</v>
      </c>
      <c r="CH45" s="6">
        <v>501</v>
      </c>
      <c r="CI45" s="6">
        <f>CG45*1.02</f>
        <v>1524.5785980000001</v>
      </c>
      <c r="CJ45" s="6">
        <v>0</v>
      </c>
      <c r="CK45" s="6">
        <f>CI45*1.2</f>
        <v>1829.4943175999999</v>
      </c>
      <c r="CL45" s="6">
        <f t="shared" si="12"/>
        <v>334.80941759999996</v>
      </c>
      <c r="CM45" s="6">
        <f t="shared" si="13"/>
        <v>1829.4943175999999</v>
      </c>
      <c r="CN45" t="s">
        <v>114</v>
      </c>
      <c r="CO45" t="s">
        <v>172</v>
      </c>
      <c r="CP45">
        <f t="shared" ca="1" si="14"/>
        <v>0.44120653087900719</v>
      </c>
    </row>
    <row r="46" spans="1:96" x14ac:dyDescent="0.35">
      <c r="A46">
        <v>1222603053</v>
      </c>
      <c r="B46" t="s">
        <v>478</v>
      </c>
      <c r="C46" t="s">
        <v>230</v>
      </c>
      <c r="D46" t="s">
        <v>93</v>
      </c>
      <c r="E46">
        <v>4000</v>
      </c>
      <c r="F46" t="s">
        <v>94</v>
      </c>
      <c r="G46" t="s">
        <v>95</v>
      </c>
      <c r="H46" t="s">
        <v>96</v>
      </c>
      <c r="I46" t="s">
        <v>231</v>
      </c>
      <c r="J46" t="s">
        <v>98</v>
      </c>
      <c r="K46" s="6">
        <f t="shared" si="0"/>
        <v>7631.7917399999997</v>
      </c>
      <c r="L46" t="s">
        <v>99</v>
      </c>
      <c r="M46" t="s">
        <v>100</v>
      </c>
      <c r="N46" t="s">
        <v>232</v>
      </c>
      <c r="O46" t="s">
        <v>96</v>
      </c>
      <c r="P46" t="s">
        <v>96</v>
      </c>
      <c r="Q46" t="s">
        <v>233</v>
      </c>
      <c r="R46" t="s">
        <v>96</v>
      </c>
      <c r="S46" t="s">
        <v>104</v>
      </c>
      <c r="T46">
        <v>0</v>
      </c>
      <c r="U46">
        <v>30</v>
      </c>
      <c r="V46">
        <v>30</v>
      </c>
      <c r="W46" t="s">
        <v>105</v>
      </c>
      <c r="X46" t="s">
        <v>106</v>
      </c>
      <c r="Y46" t="s">
        <v>107</v>
      </c>
      <c r="Z46" t="s">
        <v>108</v>
      </c>
      <c r="AA46">
        <v>360</v>
      </c>
      <c r="AB46">
        <v>375</v>
      </c>
      <c r="AC46" t="s">
        <v>109</v>
      </c>
      <c r="AD46" t="s">
        <v>166</v>
      </c>
      <c r="AE46" s="3">
        <v>847130000000</v>
      </c>
      <c r="AF46" t="s">
        <v>154</v>
      </c>
      <c r="AG46" t="s">
        <v>234</v>
      </c>
      <c r="AH46" t="s">
        <v>112</v>
      </c>
      <c r="AI46">
        <v>20</v>
      </c>
      <c r="AJ46">
        <v>120</v>
      </c>
      <c r="AK46">
        <v>125</v>
      </c>
      <c r="AL46" t="s">
        <v>113</v>
      </c>
      <c r="AM46" s="6">
        <v>1547.5</v>
      </c>
      <c r="AN46" s="6">
        <f>AM46*1.08</f>
        <v>1671.3000000000002</v>
      </c>
      <c r="AO46" s="6">
        <f t="shared" si="1"/>
        <v>154.75</v>
      </c>
      <c r="AP46" s="6">
        <f t="shared" si="2"/>
        <v>46.424999999999997</v>
      </c>
      <c r="AQ46" s="6">
        <f t="shared" si="3"/>
        <v>1748.675</v>
      </c>
      <c r="AR46">
        <v>501</v>
      </c>
      <c r="AS46" s="6">
        <v>0</v>
      </c>
      <c r="AT46" s="6">
        <v>0</v>
      </c>
      <c r="AU46" s="6">
        <f>AQ46*1.2</f>
        <v>2098.41</v>
      </c>
      <c r="AV46" s="6">
        <f t="shared" ref="AV46:AV52" si="20">AU46-AQ46</f>
        <v>349.7349999999999</v>
      </c>
      <c r="AW46" s="6">
        <f t="shared" ref="AW46:AW52" si="21">AU46</f>
        <v>2098.41</v>
      </c>
      <c r="AX46" t="s">
        <v>114</v>
      </c>
      <c r="AY46" t="s">
        <v>235</v>
      </c>
      <c r="AZ46" s="3">
        <v>851713000000</v>
      </c>
      <c r="BA46" t="s">
        <v>156</v>
      </c>
      <c r="BB46" t="s">
        <v>234</v>
      </c>
      <c r="BC46" t="s">
        <v>112</v>
      </c>
      <c r="BD46">
        <v>5</v>
      </c>
      <c r="BE46">
        <v>120</v>
      </c>
      <c r="BF46">
        <v>125</v>
      </c>
      <c r="BG46" t="s">
        <v>113</v>
      </c>
      <c r="BH46" s="6">
        <v>1699.85</v>
      </c>
      <c r="BI46" s="6">
        <f>BH46*1.08</f>
        <v>1835.838</v>
      </c>
      <c r="BJ46" s="6">
        <f t="shared" si="4"/>
        <v>169.98500000000001</v>
      </c>
      <c r="BK46" s="6">
        <f t="shared" si="5"/>
        <v>50.995499999999993</v>
      </c>
      <c r="BL46" s="6">
        <f t="shared" si="6"/>
        <v>1920.8305</v>
      </c>
      <c r="BM46" s="6">
        <v>602</v>
      </c>
      <c r="BN46" s="6">
        <v>0</v>
      </c>
      <c r="BO46" s="6">
        <f>BL46*1.5</f>
        <v>2881.24575</v>
      </c>
      <c r="BP46" s="6">
        <f>BO46*1.2</f>
        <v>3457.4949000000001</v>
      </c>
      <c r="BQ46" s="6">
        <f t="shared" si="7"/>
        <v>1536.6644000000001</v>
      </c>
      <c r="BR46" s="6">
        <f t="shared" si="8"/>
        <v>3457.4949000000001</v>
      </c>
      <c r="BS46" t="s">
        <v>114</v>
      </c>
      <c r="BT46" t="s">
        <v>236</v>
      </c>
      <c r="BU46" s="3">
        <v>701349100000</v>
      </c>
      <c r="BV46" t="s">
        <v>158</v>
      </c>
      <c r="BW46" t="s">
        <v>234</v>
      </c>
      <c r="BX46" t="s">
        <v>112</v>
      </c>
      <c r="BY46">
        <v>16</v>
      </c>
      <c r="BZ46">
        <v>120</v>
      </c>
      <c r="CA46">
        <v>125</v>
      </c>
      <c r="CB46" t="s">
        <v>113</v>
      </c>
      <c r="CC46" s="6">
        <v>1530.89</v>
      </c>
      <c r="CD46" s="6">
        <f>CC46*1.08</f>
        <v>1653.3612000000003</v>
      </c>
      <c r="CE46" s="6">
        <f t="shared" si="9"/>
        <v>153.08900000000003</v>
      </c>
      <c r="CF46" s="6">
        <f t="shared" si="10"/>
        <v>45.926700000000004</v>
      </c>
      <c r="CG46" s="6">
        <f t="shared" si="11"/>
        <v>1729.9057</v>
      </c>
      <c r="CH46" s="6">
        <v>501</v>
      </c>
      <c r="CI46" s="6">
        <v>0</v>
      </c>
      <c r="CJ46" s="6">
        <v>0</v>
      </c>
      <c r="CK46" s="6">
        <f>CG46*1.2</f>
        <v>2075.8868400000001</v>
      </c>
      <c r="CL46" s="6">
        <f t="shared" si="12"/>
        <v>345.9811400000001</v>
      </c>
      <c r="CM46" s="6">
        <f t="shared" si="13"/>
        <v>2075.8868400000001</v>
      </c>
      <c r="CN46" t="s">
        <v>114</v>
      </c>
      <c r="CO46" t="s">
        <v>237</v>
      </c>
      <c r="CP46">
        <f t="shared" ca="1" si="14"/>
        <v>0.36714133777119251</v>
      </c>
    </row>
    <row r="47" spans="1:96" x14ac:dyDescent="0.35">
      <c r="A47">
        <v>1222603054</v>
      </c>
      <c r="B47" t="s">
        <v>484</v>
      </c>
      <c r="C47" t="s">
        <v>423</v>
      </c>
      <c r="D47" t="s">
        <v>93</v>
      </c>
      <c r="E47">
        <v>4000</v>
      </c>
      <c r="F47" t="s">
        <v>94</v>
      </c>
      <c r="G47" t="s">
        <v>95</v>
      </c>
      <c r="H47" t="s">
        <v>96</v>
      </c>
      <c r="I47" t="s">
        <v>240</v>
      </c>
      <c r="J47" t="s">
        <v>176</v>
      </c>
      <c r="K47" s="6">
        <f t="shared" si="0"/>
        <v>2646.9235260000005</v>
      </c>
      <c r="L47" t="s">
        <v>99</v>
      </c>
      <c r="M47" t="s">
        <v>100</v>
      </c>
      <c r="N47" t="s">
        <v>241</v>
      </c>
      <c r="O47" t="s">
        <v>96</v>
      </c>
      <c r="P47" t="s">
        <v>96</v>
      </c>
      <c r="Q47" t="s">
        <v>424</v>
      </c>
      <c r="R47" t="s">
        <v>96</v>
      </c>
      <c r="S47" t="s">
        <v>104</v>
      </c>
      <c r="T47">
        <v>0</v>
      </c>
      <c r="U47">
        <v>30</v>
      </c>
      <c r="V47">
        <v>30</v>
      </c>
      <c r="W47" t="s">
        <v>105</v>
      </c>
      <c r="X47" t="s">
        <v>106</v>
      </c>
      <c r="Y47" t="s">
        <v>107</v>
      </c>
      <c r="Z47" t="s">
        <v>108</v>
      </c>
      <c r="AA47">
        <v>510</v>
      </c>
      <c r="AB47">
        <v>525</v>
      </c>
      <c r="AC47" t="s">
        <v>109</v>
      </c>
      <c r="AD47" t="s">
        <v>425</v>
      </c>
      <c r="AE47" s="3">
        <v>190531990000</v>
      </c>
      <c r="AF47" t="s">
        <v>111</v>
      </c>
      <c r="AG47" t="s">
        <v>243</v>
      </c>
      <c r="AH47" t="s">
        <v>112</v>
      </c>
      <c r="AI47">
        <v>13</v>
      </c>
      <c r="AJ47">
        <v>170</v>
      </c>
      <c r="AK47">
        <v>175</v>
      </c>
      <c r="AL47" t="s">
        <v>113</v>
      </c>
      <c r="AM47" s="6">
        <v>615.95000000000005</v>
      </c>
      <c r="AN47" s="6">
        <v>1983.96</v>
      </c>
      <c r="AO47" s="6">
        <f t="shared" si="1"/>
        <v>61.595000000000006</v>
      </c>
      <c r="AP47" s="6">
        <f t="shared" si="2"/>
        <v>18.4785</v>
      </c>
      <c r="AQ47" s="6">
        <f t="shared" si="3"/>
        <v>696.02350000000013</v>
      </c>
      <c r="AR47">
        <v>501</v>
      </c>
      <c r="AS47" s="6">
        <f>AQ47*1.1</f>
        <v>765.62585000000024</v>
      </c>
      <c r="AT47" s="6">
        <v>0</v>
      </c>
      <c r="AU47" s="6">
        <f>AS47*1.2</f>
        <v>918.75102000000027</v>
      </c>
      <c r="AV47" s="6">
        <f t="shared" si="20"/>
        <v>222.72752000000014</v>
      </c>
      <c r="AW47" s="6">
        <f t="shared" si="21"/>
        <v>918.75102000000027</v>
      </c>
      <c r="AX47" t="s">
        <v>118</v>
      </c>
      <c r="AY47" t="s">
        <v>426</v>
      </c>
      <c r="AZ47" s="3">
        <v>804100000000</v>
      </c>
      <c r="BA47" t="s">
        <v>116</v>
      </c>
      <c r="BB47" t="s">
        <v>243</v>
      </c>
      <c r="BC47" t="s">
        <v>117</v>
      </c>
      <c r="BD47">
        <v>19</v>
      </c>
      <c r="BE47">
        <v>170</v>
      </c>
      <c r="BF47">
        <v>175</v>
      </c>
      <c r="BG47" t="s">
        <v>113</v>
      </c>
      <c r="BH47" s="6">
        <v>777.19</v>
      </c>
      <c r="BI47" s="6">
        <v>1983.96</v>
      </c>
      <c r="BJ47" s="6">
        <f t="shared" si="4"/>
        <v>77.719000000000008</v>
      </c>
      <c r="BK47" s="6">
        <f t="shared" si="5"/>
        <v>23.3157</v>
      </c>
      <c r="BL47" s="6">
        <f t="shared" si="6"/>
        <v>878.2247000000001</v>
      </c>
      <c r="BM47" s="6">
        <v>501</v>
      </c>
      <c r="BN47" s="6">
        <v>0</v>
      </c>
      <c r="BO47" s="6">
        <v>0</v>
      </c>
      <c r="BP47" s="6">
        <f>BL47*1.2</f>
        <v>1053.8696400000001</v>
      </c>
      <c r="BQ47" s="6">
        <f t="shared" si="7"/>
        <v>175.64494000000002</v>
      </c>
      <c r="BR47" s="6">
        <f t="shared" si="8"/>
        <v>1053.8696400000001</v>
      </c>
      <c r="BS47" t="s">
        <v>118</v>
      </c>
      <c r="BT47" t="s">
        <v>427</v>
      </c>
      <c r="BU47" s="3">
        <v>100199000000</v>
      </c>
      <c r="BV47" t="s">
        <v>120</v>
      </c>
      <c r="BW47" t="s">
        <v>243</v>
      </c>
      <c r="BX47" t="s">
        <v>117</v>
      </c>
      <c r="BY47">
        <v>9</v>
      </c>
      <c r="BZ47">
        <v>170</v>
      </c>
      <c r="CA47">
        <v>175</v>
      </c>
      <c r="CB47" t="s">
        <v>113</v>
      </c>
      <c r="CC47" s="6">
        <v>590.82000000000005</v>
      </c>
      <c r="CD47" s="6">
        <v>1983.96</v>
      </c>
      <c r="CE47" s="6">
        <f t="shared" si="9"/>
        <v>59.082000000000008</v>
      </c>
      <c r="CF47" s="6">
        <f t="shared" si="10"/>
        <v>17.724600000000002</v>
      </c>
      <c r="CG47" s="6">
        <f t="shared" si="11"/>
        <v>667.62660000000005</v>
      </c>
      <c r="CH47" s="6">
        <v>501</v>
      </c>
      <c r="CI47" s="6">
        <v>0</v>
      </c>
      <c r="CJ47" s="6">
        <v>0</v>
      </c>
      <c r="CK47" s="6">
        <f>CG47*1.01</f>
        <v>674.30286600000011</v>
      </c>
      <c r="CL47" s="6">
        <f t="shared" si="12"/>
        <v>6.6762660000000551</v>
      </c>
      <c r="CM47" s="6">
        <f t="shared" si="13"/>
        <v>674.30286600000011</v>
      </c>
      <c r="CN47" t="s">
        <v>118</v>
      </c>
      <c r="CO47" t="s">
        <v>428</v>
      </c>
      <c r="CP47">
        <f t="shared" ca="1" si="14"/>
        <v>0.83055195007889959</v>
      </c>
    </row>
    <row r="48" spans="1:96" x14ac:dyDescent="0.35">
      <c r="A48">
        <v>1222603056</v>
      </c>
      <c r="B48" t="s">
        <v>490</v>
      </c>
      <c r="C48" t="s">
        <v>442</v>
      </c>
      <c r="D48" t="s">
        <v>93</v>
      </c>
      <c r="E48">
        <v>4000</v>
      </c>
      <c r="F48" t="s">
        <v>94</v>
      </c>
      <c r="G48" t="s">
        <v>95</v>
      </c>
      <c r="H48" t="s">
        <v>96</v>
      </c>
      <c r="I48" t="s">
        <v>267</v>
      </c>
      <c r="J48" t="s">
        <v>176</v>
      </c>
      <c r="K48" s="6">
        <f t="shared" si="0"/>
        <v>6569.1006419999994</v>
      </c>
      <c r="L48" t="s">
        <v>99</v>
      </c>
      <c r="M48" t="s">
        <v>100</v>
      </c>
      <c r="N48" t="s">
        <v>268</v>
      </c>
      <c r="O48" t="s">
        <v>96</v>
      </c>
      <c r="P48" t="s">
        <v>96</v>
      </c>
      <c r="Q48" t="s">
        <v>443</v>
      </c>
      <c r="R48" t="s">
        <v>270</v>
      </c>
      <c r="S48" t="s">
        <v>104</v>
      </c>
      <c r="T48">
        <v>0</v>
      </c>
      <c r="U48">
        <v>30</v>
      </c>
      <c r="V48">
        <v>30</v>
      </c>
      <c r="W48" t="s">
        <v>105</v>
      </c>
      <c r="X48" t="s">
        <v>106</v>
      </c>
      <c r="Y48" t="s">
        <v>107</v>
      </c>
      <c r="Z48" t="s">
        <v>108</v>
      </c>
      <c r="AA48">
        <v>528</v>
      </c>
      <c r="AB48">
        <v>543</v>
      </c>
      <c r="AC48" t="s">
        <v>109</v>
      </c>
      <c r="AD48" t="s">
        <v>180</v>
      </c>
      <c r="AE48" s="3">
        <v>847130000000</v>
      </c>
      <c r="AF48" t="s">
        <v>154</v>
      </c>
      <c r="AG48" t="s">
        <v>270</v>
      </c>
      <c r="AH48" t="s">
        <v>112</v>
      </c>
      <c r="AI48">
        <v>14</v>
      </c>
      <c r="AJ48">
        <v>176</v>
      </c>
      <c r="AK48">
        <v>181</v>
      </c>
      <c r="AL48" t="s">
        <v>113</v>
      </c>
      <c r="AM48" s="6">
        <v>1736.96</v>
      </c>
      <c r="AN48" s="6">
        <f>AM48*1.08</f>
        <v>1875.9168000000002</v>
      </c>
      <c r="AO48" s="6">
        <f t="shared" si="1"/>
        <v>173.69600000000003</v>
      </c>
      <c r="AP48" s="6">
        <f t="shared" si="2"/>
        <v>52.108800000000002</v>
      </c>
      <c r="AQ48" s="6">
        <f t="shared" si="3"/>
        <v>1962.7647999999999</v>
      </c>
      <c r="AR48">
        <v>501</v>
      </c>
      <c r="AS48" s="6">
        <v>0</v>
      </c>
      <c r="AT48" s="6">
        <v>0</v>
      </c>
      <c r="AU48" s="6">
        <f>AQ48*1.2</f>
        <v>2355.3177599999999</v>
      </c>
      <c r="AV48" s="6">
        <f t="shared" si="20"/>
        <v>392.55295999999998</v>
      </c>
      <c r="AW48" s="6">
        <f t="shared" si="21"/>
        <v>2355.3177599999999</v>
      </c>
      <c r="AX48" t="s">
        <v>118</v>
      </c>
      <c r="AY48" t="s">
        <v>444</v>
      </c>
      <c r="AZ48" s="3">
        <v>851713000000</v>
      </c>
      <c r="BA48" t="s">
        <v>156</v>
      </c>
      <c r="BB48" t="s">
        <v>270</v>
      </c>
      <c r="BC48" t="s">
        <v>112</v>
      </c>
      <c r="BD48">
        <v>12</v>
      </c>
      <c r="BE48">
        <v>176</v>
      </c>
      <c r="BF48">
        <v>181</v>
      </c>
      <c r="BG48" t="s">
        <v>113</v>
      </c>
      <c r="BH48" s="6">
        <v>1332.06</v>
      </c>
      <c r="BI48" s="6">
        <f>BH48*1.08</f>
        <v>1438.6248000000001</v>
      </c>
      <c r="BJ48" s="6">
        <f t="shared" si="4"/>
        <v>133.20599999999999</v>
      </c>
      <c r="BK48" s="6">
        <f t="shared" si="5"/>
        <v>39.961799999999997</v>
      </c>
      <c r="BL48" s="6">
        <f t="shared" si="6"/>
        <v>1505.2277999999999</v>
      </c>
      <c r="BM48" s="6">
        <v>602</v>
      </c>
      <c r="BN48" s="6">
        <v>0</v>
      </c>
      <c r="BO48" s="6">
        <f>BL48*1.5</f>
        <v>2257.8416999999999</v>
      </c>
      <c r="BP48" s="6">
        <f>BO48*1.2</f>
        <v>2709.4100399999998</v>
      </c>
      <c r="BQ48" s="6">
        <f t="shared" si="7"/>
        <v>1204.1822399999999</v>
      </c>
      <c r="BR48" s="6">
        <f t="shared" si="8"/>
        <v>2709.4100399999998</v>
      </c>
      <c r="BS48" t="s">
        <v>118</v>
      </c>
      <c r="BT48" t="s">
        <v>445</v>
      </c>
      <c r="BU48" s="3">
        <v>701349100000</v>
      </c>
      <c r="BV48" t="s">
        <v>158</v>
      </c>
      <c r="BW48" t="s">
        <v>270</v>
      </c>
      <c r="BX48" t="s">
        <v>112</v>
      </c>
      <c r="BY48">
        <v>13</v>
      </c>
      <c r="BZ48">
        <v>176</v>
      </c>
      <c r="CA48">
        <v>181</v>
      </c>
      <c r="CB48" t="s">
        <v>113</v>
      </c>
      <c r="CC48" s="6">
        <v>1056.5899999999999</v>
      </c>
      <c r="CD48" s="6">
        <f>CC48*1.08</f>
        <v>1141.1171999999999</v>
      </c>
      <c r="CE48" s="6">
        <f t="shared" si="9"/>
        <v>105.65899999999999</v>
      </c>
      <c r="CF48" s="6">
        <f t="shared" si="10"/>
        <v>31.697699999999998</v>
      </c>
      <c r="CG48" s="6">
        <f t="shared" si="11"/>
        <v>1193.9466999999997</v>
      </c>
      <c r="CH48" s="6">
        <v>501</v>
      </c>
      <c r="CI48" s="6">
        <f>CG48*1.05</f>
        <v>1253.6440349999998</v>
      </c>
      <c r="CJ48" s="6">
        <v>0</v>
      </c>
      <c r="CK48" s="6">
        <f>CI48*1.2</f>
        <v>1504.3728419999998</v>
      </c>
      <c r="CL48" s="6">
        <f t="shared" si="12"/>
        <v>310.42614200000003</v>
      </c>
      <c r="CM48" s="6">
        <f t="shared" si="13"/>
        <v>1504.3728419999998</v>
      </c>
      <c r="CN48" t="s">
        <v>118</v>
      </c>
      <c r="CO48" t="s">
        <v>446</v>
      </c>
      <c r="CP48">
        <f t="shared" ca="1" si="14"/>
        <v>0.61902255504282711</v>
      </c>
    </row>
    <row r="49" spans="1:94" x14ac:dyDescent="0.35">
      <c r="A49">
        <v>1222603057</v>
      </c>
      <c r="B49" t="s">
        <v>496</v>
      </c>
      <c r="C49" t="s">
        <v>479</v>
      </c>
      <c r="D49" t="s">
        <v>93</v>
      </c>
      <c r="E49">
        <v>4000</v>
      </c>
      <c r="F49" t="s">
        <v>94</v>
      </c>
      <c r="G49" t="s">
        <v>95</v>
      </c>
      <c r="H49" t="s">
        <v>96</v>
      </c>
      <c r="I49" t="s">
        <v>322</v>
      </c>
      <c r="J49" t="s">
        <v>176</v>
      </c>
      <c r="K49" s="6">
        <f t="shared" si="0"/>
        <v>1879.3606752000001</v>
      </c>
      <c r="L49" t="s">
        <v>99</v>
      </c>
      <c r="M49" t="s">
        <v>100</v>
      </c>
      <c r="N49" t="s">
        <v>323</v>
      </c>
      <c r="O49" t="s">
        <v>96</v>
      </c>
      <c r="P49" t="s">
        <v>96</v>
      </c>
      <c r="Q49" t="s">
        <v>480</v>
      </c>
      <c r="R49" t="s">
        <v>96</v>
      </c>
      <c r="S49" t="s">
        <v>104</v>
      </c>
      <c r="T49">
        <v>0</v>
      </c>
      <c r="U49">
        <v>30</v>
      </c>
      <c r="V49">
        <v>30</v>
      </c>
      <c r="W49" t="s">
        <v>105</v>
      </c>
      <c r="X49" t="s">
        <v>106</v>
      </c>
      <c r="Y49" t="s">
        <v>107</v>
      </c>
      <c r="Z49" t="s">
        <v>108</v>
      </c>
      <c r="AA49">
        <v>564</v>
      </c>
      <c r="AB49">
        <v>579</v>
      </c>
      <c r="AC49" t="s">
        <v>109</v>
      </c>
      <c r="AD49" t="s">
        <v>468</v>
      </c>
      <c r="AE49" s="3">
        <v>610910000000</v>
      </c>
      <c r="AF49" t="s">
        <v>141</v>
      </c>
      <c r="AG49" t="s">
        <v>325</v>
      </c>
      <c r="AH49" t="s">
        <v>142</v>
      </c>
      <c r="AI49">
        <v>20</v>
      </c>
      <c r="AJ49">
        <v>188</v>
      </c>
      <c r="AK49">
        <v>193</v>
      </c>
      <c r="AL49" t="s">
        <v>113</v>
      </c>
      <c r="AM49" s="6">
        <v>303</v>
      </c>
      <c r="AN49" s="6">
        <v>1251.04</v>
      </c>
      <c r="AO49" s="6">
        <f t="shared" si="1"/>
        <v>30.3</v>
      </c>
      <c r="AP49" s="6">
        <f t="shared" si="2"/>
        <v>9.09</v>
      </c>
      <c r="AQ49" s="6">
        <f t="shared" si="3"/>
        <v>342.39</v>
      </c>
      <c r="AR49">
        <v>101</v>
      </c>
      <c r="AS49" s="6">
        <f>AQ49*1.12</f>
        <v>383.47680000000003</v>
      </c>
      <c r="AT49" s="6">
        <v>0</v>
      </c>
      <c r="AU49" s="6">
        <f>AS49*1.2</f>
        <v>460.17216000000002</v>
      </c>
      <c r="AV49" s="6">
        <f t="shared" si="20"/>
        <v>117.78216000000003</v>
      </c>
      <c r="AW49" s="6">
        <f t="shared" si="21"/>
        <v>460.17216000000002</v>
      </c>
      <c r="AX49" t="s">
        <v>118</v>
      </c>
      <c r="AY49" t="s">
        <v>481</v>
      </c>
      <c r="AZ49" s="3">
        <v>620342000000</v>
      </c>
      <c r="BA49" t="s">
        <v>144</v>
      </c>
      <c r="BB49" t="s">
        <v>325</v>
      </c>
      <c r="BC49" t="s">
        <v>142</v>
      </c>
      <c r="BD49">
        <v>17</v>
      </c>
      <c r="BE49">
        <v>188</v>
      </c>
      <c r="BF49">
        <v>193</v>
      </c>
      <c r="BG49" t="s">
        <v>113</v>
      </c>
      <c r="BH49" s="6">
        <v>567.9</v>
      </c>
      <c r="BI49" s="6">
        <v>1251.04</v>
      </c>
      <c r="BJ49" s="6">
        <f t="shared" si="4"/>
        <v>56.79</v>
      </c>
      <c r="BK49" s="6">
        <f t="shared" si="5"/>
        <v>17.036999999999999</v>
      </c>
      <c r="BL49" s="6">
        <f t="shared" si="6"/>
        <v>641.72699999999998</v>
      </c>
      <c r="BM49" s="6">
        <v>101</v>
      </c>
      <c r="BN49" s="6">
        <f>BL49*1.12</f>
        <v>718.73424</v>
      </c>
      <c r="BO49" s="6">
        <v>0</v>
      </c>
      <c r="BP49" s="6">
        <f>BN49*1.2</f>
        <v>862.481088</v>
      </c>
      <c r="BQ49" s="6">
        <f t="shared" si="7"/>
        <v>220.75408800000002</v>
      </c>
      <c r="BR49" s="6">
        <f t="shared" si="8"/>
        <v>862.481088</v>
      </c>
      <c r="BS49" t="s">
        <v>118</v>
      </c>
      <c r="BT49" t="s">
        <v>482</v>
      </c>
      <c r="BU49" s="3">
        <v>520512000000</v>
      </c>
      <c r="BV49" t="s">
        <v>146</v>
      </c>
      <c r="BW49" t="s">
        <v>325</v>
      </c>
      <c r="BX49" t="s">
        <v>142</v>
      </c>
      <c r="BY49">
        <v>5</v>
      </c>
      <c r="BZ49">
        <v>188</v>
      </c>
      <c r="CA49">
        <v>193</v>
      </c>
      <c r="CB49" t="s">
        <v>113</v>
      </c>
      <c r="CC49" s="6">
        <v>380.14</v>
      </c>
      <c r="CD49" s="6">
        <v>1251.04</v>
      </c>
      <c r="CE49" s="6">
        <f t="shared" si="9"/>
        <v>38.014000000000003</v>
      </c>
      <c r="CF49" s="6">
        <f t="shared" si="10"/>
        <v>11.404199999999999</v>
      </c>
      <c r="CG49" s="6">
        <f t="shared" si="11"/>
        <v>429.5582</v>
      </c>
      <c r="CH49" s="6">
        <v>101</v>
      </c>
      <c r="CI49" s="6">
        <f>CG49*1.08</f>
        <v>463.92285600000002</v>
      </c>
      <c r="CJ49" s="6">
        <v>0</v>
      </c>
      <c r="CK49" s="6">
        <f>CI49*1.2</f>
        <v>556.70742719999998</v>
      </c>
      <c r="CL49" s="6">
        <f t="shared" si="12"/>
        <v>127.14922719999998</v>
      </c>
      <c r="CM49" s="6">
        <f t="shared" si="13"/>
        <v>556.70742719999998</v>
      </c>
      <c r="CN49" t="s">
        <v>118</v>
      </c>
      <c r="CO49" t="s">
        <v>483</v>
      </c>
      <c r="CP49">
        <f t="shared" ca="1" si="14"/>
        <v>2.871064279294866E-2</v>
      </c>
    </row>
    <row r="50" spans="1:94" x14ac:dyDescent="0.35">
      <c r="A50">
        <v>1222603058</v>
      </c>
      <c r="B50" t="s">
        <v>502</v>
      </c>
      <c r="C50" t="s">
        <v>454</v>
      </c>
      <c r="D50" t="s">
        <v>93</v>
      </c>
      <c r="E50">
        <v>4000</v>
      </c>
      <c r="F50" t="s">
        <v>94</v>
      </c>
      <c r="G50" t="s">
        <v>95</v>
      </c>
      <c r="H50" t="s">
        <v>96</v>
      </c>
      <c r="I50" t="s">
        <v>285</v>
      </c>
      <c r="J50" t="s">
        <v>176</v>
      </c>
      <c r="K50" s="6">
        <f t="shared" si="0"/>
        <v>4364.0011044000003</v>
      </c>
      <c r="L50" t="s">
        <v>99</v>
      </c>
      <c r="M50" t="s">
        <v>100</v>
      </c>
      <c r="N50" t="s">
        <v>286</v>
      </c>
      <c r="O50" t="s">
        <v>96</v>
      </c>
      <c r="P50" t="s">
        <v>96</v>
      </c>
      <c r="Q50" t="s">
        <v>455</v>
      </c>
      <c r="R50" t="s">
        <v>288</v>
      </c>
      <c r="S50" t="s">
        <v>104</v>
      </c>
      <c r="T50">
        <v>0</v>
      </c>
      <c r="U50">
        <v>30</v>
      </c>
      <c r="V50">
        <v>30</v>
      </c>
      <c r="W50" t="s">
        <v>105</v>
      </c>
      <c r="X50" t="s">
        <v>106</v>
      </c>
      <c r="Y50" t="s">
        <v>107</v>
      </c>
      <c r="Z50" t="s">
        <v>108</v>
      </c>
      <c r="AA50">
        <v>540</v>
      </c>
      <c r="AB50">
        <v>555</v>
      </c>
      <c r="AC50" t="s">
        <v>109</v>
      </c>
      <c r="AD50" t="s">
        <v>128</v>
      </c>
      <c r="AE50" s="3">
        <v>940360100000</v>
      </c>
      <c r="AF50" t="s">
        <v>181</v>
      </c>
      <c r="AG50" t="s">
        <v>288</v>
      </c>
      <c r="AH50" t="s">
        <v>182</v>
      </c>
      <c r="AI50">
        <v>18</v>
      </c>
      <c r="AJ50">
        <v>180</v>
      </c>
      <c r="AK50">
        <v>185</v>
      </c>
      <c r="AL50" t="s">
        <v>113</v>
      </c>
      <c r="AM50" s="6">
        <v>875.63</v>
      </c>
      <c r="AN50" s="6">
        <v>3048.1</v>
      </c>
      <c r="AO50" s="6">
        <f t="shared" si="1"/>
        <v>87.563000000000002</v>
      </c>
      <c r="AP50" s="6">
        <f t="shared" si="2"/>
        <v>26.268899999999999</v>
      </c>
      <c r="AQ50" s="6">
        <f t="shared" si="3"/>
        <v>989.46190000000001</v>
      </c>
      <c r="AR50">
        <v>501</v>
      </c>
      <c r="AS50" s="6">
        <f>AQ50*1.05</f>
        <v>1038.9349950000001</v>
      </c>
      <c r="AT50" s="6">
        <v>0</v>
      </c>
      <c r="AU50" s="6">
        <f>AS50*1.2</f>
        <v>1246.721994</v>
      </c>
      <c r="AV50" s="6">
        <f t="shared" si="20"/>
        <v>257.26009399999998</v>
      </c>
      <c r="AW50" s="6">
        <f t="shared" si="21"/>
        <v>1246.721994</v>
      </c>
      <c r="AX50" t="s">
        <v>118</v>
      </c>
      <c r="AY50" t="s">
        <v>456</v>
      </c>
      <c r="AZ50" s="3">
        <v>440711100000</v>
      </c>
      <c r="BA50" t="s">
        <v>184</v>
      </c>
      <c r="BB50" t="s">
        <v>288</v>
      </c>
      <c r="BC50" t="s">
        <v>103</v>
      </c>
      <c r="BD50">
        <v>9</v>
      </c>
      <c r="BE50">
        <v>180</v>
      </c>
      <c r="BF50">
        <v>185</v>
      </c>
      <c r="BG50" t="s">
        <v>113</v>
      </c>
      <c r="BH50" s="6">
        <v>1184.73</v>
      </c>
      <c r="BI50" s="6">
        <v>3048.1</v>
      </c>
      <c r="BJ50" s="6">
        <f t="shared" si="4"/>
        <v>118.47300000000001</v>
      </c>
      <c r="BK50" s="6">
        <f t="shared" si="5"/>
        <v>35.541899999999998</v>
      </c>
      <c r="BL50" s="6">
        <f t="shared" si="6"/>
        <v>1338.7448999999999</v>
      </c>
      <c r="BM50" s="6">
        <v>501</v>
      </c>
      <c r="BN50" s="6">
        <f>BL50*1.04</f>
        <v>1392.2946959999999</v>
      </c>
      <c r="BO50" s="6">
        <v>0</v>
      </c>
      <c r="BP50" s="6">
        <f>BN50*1.2</f>
        <v>1670.7536352</v>
      </c>
      <c r="BQ50" s="6">
        <f t="shared" si="7"/>
        <v>332.00873520000005</v>
      </c>
      <c r="BR50" s="6">
        <f t="shared" si="8"/>
        <v>1670.7536352</v>
      </c>
      <c r="BS50" t="s">
        <v>118</v>
      </c>
      <c r="BT50" t="s">
        <v>457</v>
      </c>
      <c r="BU50" s="3">
        <v>690721000000</v>
      </c>
      <c r="BV50" t="s">
        <v>186</v>
      </c>
      <c r="BW50" t="s">
        <v>288</v>
      </c>
      <c r="BX50" t="s">
        <v>112</v>
      </c>
      <c r="BY50">
        <v>6</v>
      </c>
      <c r="BZ50">
        <v>180</v>
      </c>
      <c r="CA50">
        <v>185</v>
      </c>
      <c r="CB50" t="s">
        <v>113</v>
      </c>
      <c r="CC50" s="6">
        <v>987.74</v>
      </c>
      <c r="CD50" s="6">
        <v>3048.1</v>
      </c>
      <c r="CE50" s="6">
        <f t="shared" si="9"/>
        <v>98.774000000000001</v>
      </c>
      <c r="CF50" s="6">
        <f t="shared" si="10"/>
        <v>29.632199999999997</v>
      </c>
      <c r="CG50" s="6">
        <f t="shared" si="11"/>
        <v>1116.1462000000001</v>
      </c>
      <c r="CH50" s="6">
        <v>501</v>
      </c>
      <c r="CI50" s="6">
        <f>CG50*1.08</f>
        <v>1205.4378960000001</v>
      </c>
      <c r="CJ50" s="6">
        <v>0</v>
      </c>
      <c r="CK50" s="6">
        <f>CI50*1.2</f>
        <v>1446.5254752000001</v>
      </c>
      <c r="CL50" s="6">
        <f t="shared" si="12"/>
        <v>330.37927519999994</v>
      </c>
      <c r="CM50" s="6">
        <f t="shared" si="13"/>
        <v>1446.5254752000001</v>
      </c>
      <c r="CN50" t="s">
        <v>118</v>
      </c>
      <c r="CO50" t="s">
        <v>458</v>
      </c>
      <c r="CP50">
        <f t="shared" ca="1" si="14"/>
        <v>0.16389243015393018</v>
      </c>
    </row>
    <row r="51" spans="1:94" x14ac:dyDescent="0.35">
      <c r="A51">
        <v>1222603059</v>
      </c>
      <c r="B51" t="s">
        <v>508</v>
      </c>
      <c r="C51" t="s">
        <v>248</v>
      </c>
      <c r="D51" t="s">
        <v>93</v>
      </c>
      <c r="E51">
        <v>4000</v>
      </c>
      <c r="F51" t="s">
        <v>94</v>
      </c>
      <c r="G51" t="s">
        <v>95</v>
      </c>
      <c r="H51" t="s">
        <v>96</v>
      </c>
      <c r="I51" t="s">
        <v>249</v>
      </c>
      <c r="J51" t="s">
        <v>176</v>
      </c>
      <c r="K51" s="6">
        <f t="shared" si="0"/>
        <v>4310.9457060000004</v>
      </c>
      <c r="L51" t="s">
        <v>99</v>
      </c>
      <c r="M51" t="s">
        <v>100</v>
      </c>
      <c r="N51" t="s">
        <v>250</v>
      </c>
      <c r="O51" t="s">
        <v>96</v>
      </c>
      <c r="P51" t="s">
        <v>96</v>
      </c>
      <c r="Q51" t="s">
        <v>251</v>
      </c>
      <c r="R51" t="s">
        <v>252</v>
      </c>
      <c r="S51" t="s">
        <v>104</v>
      </c>
      <c r="T51">
        <v>0</v>
      </c>
      <c r="U51">
        <v>30</v>
      </c>
      <c r="V51">
        <v>30</v>
      </c>
      <c r="W51" t="s">
        <v>105</v>
      </c>
      <c r="X51" t="s">
        <v>106</v>
      </c>
      <c r="Y51" t="s">
        <v>107</v>
      </c>
      <c r="Z51" t="s">
        <v>108</v>
      </c>
      <c r="AA51">
        <v>372</v>
      </c>
      <c r="AB51">
        <v>387</v>
      </c>
      <c r="AC51" t="s">
        <v>109</v>
      </c>
      <c r="AD51" t="s">
        <v>128</v>
      </c>
      <c r="AE51" s="3">
        <v>940360100000</v>
      </c>
      <c r="AF51" t="s">
        <v>181</v>
      </c>
      <c r="AG51" t="s">
        <v>252</v>
      </c>
      <c r="AH51" t="s">
        <v>182</v>
      </c>
      <c r="AI51">
        <v>18</v>
      </c>
      <c r="AJ51">
        <v>124</v>
      </c>
      <c r="AK51">
        <v>129</v>
      </c>
      <c r="AL51" t="s">
        <v>113</v>
      </c>
      <c r="AM51" s="6">
        <v>1047.23</v>
      </c>
      <c r="AN51" s="6">
        <f>AM51*1.08</f>
        <v>1131.0084000000002</v>
      </c>
      <c r="AO51" s="6">
        <f t="shared" si="1"/>
        <v>104.72300000000001</v>
      </c>
      <c r="AP51" s="6">
        <f t="shared" si="2"/>
        <v>31.416899999999998</v>
      </c>
      <c r="AQ51" s="6">
        <f t="shared" si="3"/>
        <v>1183.3698999999999</v>
      </c>
      <c r="AR51">
        <v>501</v>
      </c>
      <c r="AS51" s="6">
        <f>AQ51*1.05</f>
        <v>1242.538395</v>
      </c>
      <c r="AT51" s="6">
        <v>0</v>
      </c>
      <c r="AU51" s="6">
        <f>AS51*1.2</f>
        <v>1491.0460740000001</v>
      </c>
      <c r="AV51" s="6">
        <f t="shared" si="20"/>
        <v>307.67617400000017</v>
      </c>
      <c r="AW51" s="6">
        <f t="shared" si="21"/>
        <v>1491.0460740000001</v>
      </c>
      <c r="AX51" t="s">
        <v>118</v>
      </c>
      <c r="AY51" t="s">
        <v>253</v>
      </c>
      <c r="AZ51" s="3">
        <v>440711100000</v>
      </c>
      <c r="BA51" t="s">
        <v>184</v>
      </c>
      <c r="BB51" t="s">
        <v>252</v>
      </c>
      <c r="BC51" t="s">
        <v>103</v>
      </c>
      <c r="BD51">
        <v>12</v>
      </c>
      <c r="BE51">
        <v>124</v>
      </c>
      <c r="BF51">
        <v>129</v>
      </c>
      <c r="BG51" t="s">
        <v>113</v>
      </c>
      <c r="BH51" s="6">
        <v>964.18</v>
      </c>
      <c r="BI51" s="6">
        <f>BH51*1.08</f>
        <v>1041.3144</v>
      </c>
      <c r="BJ51" s="6">
        <f t="shared" si="4"/>
        <v>96.418000000000006</v>
      </c>
      <c r="BK51" s="6">
        <f t="shared" si="5"/>
        <v>28.925399999999996</v>
      </c>
      <c r="BL51" s="6">
        <f t="shared" si="6"/>
        <v>1089.5234</v>
      </c>
      <c r="BM51" s="6">
        <v>501</v>
      </c>
      <c r="BN51" s="6">
        <f>BL51*1.04</f>
        <v>1133.1043360000001</v>
      </c>
      <c r="BO51" s="6">
        <v>0</v>
      </c>
      <c r="BP51" s="6">
        <f>BN51*1.2</f>
        <v>1359.7252032000001</v>
      </c>
      <c r="BQ51" s="6">
        <f t="shared" si="7"/>
        <v>270.20180320000009</v>
      </c>
      <c r="BR51" s="6">
        <f t="shared" si="8"/>
        <v>1359.7252032000001</v>
      </c>
      <c r="BS51" t="s">
        <v>118</v>
      </c>
      <c r="BT51" t="s">
        <v>254</v>
      </c>
      <c r="BU51" s="3">
        <v>690721000000</v>
      </c>
      <c r="BV51" t="s">
        <v>186</v>
      </c>
      <c r="BW51" t="s">
        <v>252</v>
      </c>
      <c r="BX51" t="s">
        <v>112</v>
      </c>
      <c r="BY51">
        <v>5</v>
      </c>
      <c r="BZ51">
        <v>124</v>
      </c>
      <c r="CA51">
        <v>129</v>
      </c>
      <c r="CB51" t="s">
        <v>113</v>
      </c>
      <c r="CC51" s="6">
        <v>997.06</v>
      </c>
      <c r="CD51" s="6">
        <f>CC51*1.08</f>
        <v>1076.8248000000001</v>
      </c>
      <c r="CE51" s="6">
        <f t="shared" si="9"/>
        <v>99.706000000000003</v>
      </c>
      <c r="CF51" s="6">
        <f t="shared" si="10"/>
        <v>29.911799999999996</v>
      </c>
      <c r="CG51" s="6">
        <f t="shared" si="11"/>
        <v>1126.6777999999999</v>
      </c>
      <c r="CH51" s="6">
        <v>501</v>
      </c>
      <c r="CI51" s="6">
        <f>CG51*1.08</f>
        <v>1216.8120240000001</v>
      </c>
      <c r="CJ51" s="6">
        <v>0</v>
      </c>
      <c r="CK51" s="6">
        <f>CI51*1.2</f>
        <v>1460.1744288</v>
      </c>
      <c r="CL51" s="6">
        <f t="shared" si="12"/>
        <v>333.49662880000005</v>
      </c>
      <c r="CM51" s="6">
        <f t="shared" si="13"/>
        <v>1460.1744288</v>
      </c>
      <c r="CN51" t="s">
        <v>118</v>
      </c>
      <c r="CO51" t="s">
        <v>255</v>
      </c>
      <c r="CP51">
        <f t="shared" ca="1" si="14"/>
        <v>0.85534594717006163</v>
      </c>
    </row>
    <row r="52" spans="1:94" x14ac:dyDescent="0.35">
      <c r="A52">
        <v>1222603060</v>
      </c>
      <c r="B52" t="s">
        <v>514</v>
      </c>
      <c r="C52" t="s">
        <v>369</v>
      </c>
      <c r="D52" t="s">
        <v>93</v>
      </c>
      <c r="E52">
        <v>4000</v>
      </c>
      <c r="F52" t="s">
        <v>94</v>
      </c>
      <c r="G52" t="s">
        <v>95</v>
      </c>
      <c r="H52" t="s">
        <v>96</v>
      </c>
      <c r="I52" t="s">
        <v>137</v>
      </c>
      <c r="J52" t="s">
        <v>98</v>
      </c>
      <c r="K52" s="6">
        <f t="shared" si="0"/>
        <v>3988.8502799999997</v>
      </c>
      <c r="L52" t="s">
        <v>99</v>
      </c>
      <c r="M52" t="s">
        <v>100</v>
      </c>
      <c r="N52" t="s">
        <v>138</v>
      </c>
      <c r="O52" t="s">
        <v>96</v>
      </c>
      <c r="P52" t="s">
        <v>96</v>
      </c>
      <c r="Q52" t="s">
        <v>370</v>
      </c>
      <c r="R52" t="s">
        <v>140</v>
      </c>
      <c r="S52" t="s">
        <v>104</v>
      </c>
      <c r="T52">
        <v>0</v>
      </c>
      <c r="U52">
        <v>30</v>
      </c>
      <c r="V52">
        <v>30</v>
      </c>
      <c r="W52" t="s">
        <v>105</v>
      </c>
      <c r="X52" t="s">
        <v>106</v>
      </c>
      <c r="Y52" t="s">
        <v>107</v>
      </c>
      <c r="Z52" t="s">
        <v>108</v>
      </c>
      <c r="AA52">
        <v>456</v>
      </c>
      <c r="AB52">
        <v>471</v>
      </c>
      <c r="AC52" t="s">
        <v>109</v>
      </c>
      <c r="AD52" t="s">
        <v>193</v>
      </c>
      <c r="AE52" s="3">
        <v>940360100000</v>
      </c>
      <c r="AF52" t="s">
        <v>181</v>
      </c>
      <c r="AG52" t="s">
        <v>140</v>
      </c>
      <c r="AH52" t="s">
        <v>182</v>
      </c>
      <c r="AI52">
        <v>6</v>
      </c>
      <c r="AJ52">
        <v>152</v>
      </c>
      <c r="AK52">
        <v>157</v>
      </c>
      <c r="AL52" t="s">
        <v>113</v>
      </c>
      <c r="AM52" s="6">
        <v>1099.24</v>
      </c>
      <c r="AN52" s="6">
        <f>AM52*1.08</f>
        <v>1187.1792</v>
      </c>
      <c r="AO52" s="6">
        <f t="shared" si="1"/>
        <v>109.92400000000001</v>
      </c>
      <c r="AP52" s="6">
        <f t="shared" si="2"/>
        <v>32.977199999999996</v>
      </c>
      <c r="AQ52" s="6">
        <f t="shared" si="3"/>
        <v>1242.1412</v>
      </c>
      <c r="AR52">
        <v>501</v>
      </c>
      <c r="AS52" s="6">
        <v>0</v>
      </c>
      <c r="AT52" s="6">
        <v>0</v>
      </c>
      <c r="AU52" s="6">
        <f>AQ52*1.2</f>
        <v>1490.56944</v>
      </c>
      <c r="AV52" s="6">
        <f t="shared" si="20"/>
        <v>248.42823999999996</v>
      </c>
      <c r="AW52" s="6">
        <f t="shared" si="21"/>
        <v>1490.56944</v>
      </c>
      <c r="AX52" t="s">
        <v>114</v>
      </c>
      <c r="AY52" t="s">
        <v>371</v>
      </c>
      <c r="AZ52" s="3">
        <v>440711100000</v>
      </c>
      <c r="BA52" t="s">
        <v>184</v>
      </c>
      <c r="BB52" t="s">
        <v>140</v>
      </c>
      <c r="BC52" t="s">
        <v>103</v>
      </c>
      <c r="BD52">
        <v>18</v>
      </c>
      <c r="BE52">
        <v>152</v>
      </c>
      <c r="BF52">
        <v>157</v>
      </c>
      <c r="BG52" t="s">
        <v>113</v>
      </c>
      <c r="BH52" s="6">
        <v>762.09</v>
      </c>
      <c r="BI52" s="6">
        <f>BH52*1.08</f>
        <v>823.05720000000008</v>
      </c>
      <c r="BJ52" s="6">
        <f t="shared" si="4"/>
        <v>76.209000000000003</v>
      </c>
      <c r="BK52" s="6">
        <f t="shared" si="5"/>
        <v>22.8627</v>
      </c>
      <c r="BL52" s="6">
        <f t="shared" si="6"/>
        <v>861.1617</v>
      </c>
      <c r="BM52" s="6">
        <v>501</v>
      </c>
      <c r="BN52" s="6">
        <v>0</v>
      </c>
      <c r="BO52" s="6">
        <v>0</v>
      </c>
      <c r="BP52" s="6">
        <f>BL52*1.2</f>
        <v>1033.3940399999999</v>
      </c>
      <c r="BQ52" s="6">
        <f t="shared" si="7"/>
        <v>172.23233999999991</v>
      </c>
      <c r="BR52" s="6">
        <f t="shared" si="8"/>
        <v>1033.3940399999999</v>
      </c>
      <c r="BS52" t="s">
        <v>114</v>
      </c>
      <c r="BT52" t="s">
        <v>372</v>
      </c>
      <c r="BU52" s="3">
        <v>690721000000</v>
      </c>
      <c r="BV52" t="s">
        <v>186</v>
      </c>
      <c r="BW52" t="s">
        <v>140</v>
      </c>
      <c r="BX52" t="s">
        <v>112</v>
      </c>
      <c r="BY52">
        <v>13</v>
      </c>
      <c r="BZ52">
        <v>152</v>
      </c>
      <c r="CA52">
        <v>157</v>
      </c>
      <c r="CB52" t="s">
        <v>113</v>
      </c>
      <c r="CC52" s="6">
        <v>1080.3</v>
      </c>
      <c r="CD52" s="6">
        <f>CC52*1.08</f>
        <v>1166.7239999999999</v>
      </c>
      <c r="CE52" s="6">
        <f t="shared" si="9"/>
        <v>108.03</v>
      </c>
      <c r="CF52" s="6">
        <f t="shared" si="10"/>
        <v>32.408999999999999</v>
      </c>
      <c r="CG52" s="6">
        <f t="shared" si="11"/>
        <v>1220.739</v>
      </c>
      <c r="CH52" s="6">
        <v>501</v>
      </c>
      <c r="CI52" s="6">
        <v>0</v>
      </c>
      <c r="CJ52" s="6">
        <v>0</v>
      </c>
      <c r="CK52" s="6">
        <f>CG52*1.2</f>
        <v>1464.8868</v>
      </c>
      <c r="CL52" s="6">
        <f t="shared" si="12"/>
        <v>244.14779999999996</v>
      </c>
      <c r="CM52" s="6">
        <f t="shared" si="13"/>
        <v>1464.8868</v>
      </c>
      <c r="CN52" t="s">
        <v>114</v>
      </c>
      <c r="CO52" t="s">
        <v>373</v>
      </c>
      <c r="CP52">
        <f t="shared" ca="1" si="14"/>
        <v>0.21958572422135214</v>
      </c>
    </row>
    <row r="53" spans="1:94" x14ac:dyDescent="0.35">
      <c r="A53">
        <v>1222603061</v>
      </c>
      <c r="B53" t="s">
        <v>520</v>
      </c>
      <c r="C53" t="s">
        <v>239</v>
      </c>
      <c r="D53" t="s">
        <v>93</v>
      </c>
      <c r="E53">
        <v>4000</v>
      </c>
      <c r="F53" t="s">
        <v>94</v>
      </c>
      <c r="G53" t="s">
        <v>95</v>
      </c>
      <c r="H53" t="s">
        <v>96</v>
      </c>
      <c r="I53" t="s">
        <v>240</v>
      </c>
      <c r="J53" t="s">
        <v>176</v>
      </c>
      <c r="K53" s="6">
        <f t="shared" si="0"/>
        <v>5936.0085159999999</v>
      </c>
      <c r="L53" t="s">
        <v>99</v>
      </c>
      <c r="M53" t="s">
        <v>100</v>
      </c>
      <c r="N53" t="s">
        <v>241</v>
      </c>
      <c r="O53" t="s">
        <v>96</v>
      </c>
      <c r="P53" t="s">
        <v>96</v>
      </c>
      <c r="Q53" t="s">
        <v>242</v>
      </c>
      <c r="R53" t="s">
        <v>96</v>
      </c>
      <c r="S53" t="s">
        <v>104</v>
      </c>
      <c r="T53">
        <v>0</v>
      </c>
      <c r="U53">
        <v>30</v>
      </c>
      <c r="V53">
        <v>30</v>
      </c>
      <c r="W53" t="s">
        <v>105</v>
      </c>
      <c r="X53" t="s">
        <v>106</v>
      </c>
      <c r="Y53" t="s">
        <v>107</v>
      </c>
      <c r="Z53" t="s">
        <v>108</v>
      </c>
      <c r="AA53">
        <v>366</v>
      </c>
      <c r="AB53">
        <v>381</v>
      </c>
      <c r="AC53" t="s">
        <v>109</v>
      </c>
      <c r="AD53" t="s">
        <v>166</v>
      </c>
      <c r="AE53" s="3">
        <v>401110000000</v>
      </c>
      <c r="AF53" t="s">
        <v>167</v>
      </c>
      <c r="AG53" t="s">
        <v>243</v>
      </c>
      <c r="AH53" t="s">
        <v>112</v>
      </c>
      <c r="AI53">
        <v>9</v>
      </c>
      <c r="AJ53">
        <v>122</v>
      </c>
      <c r="AK53">
        <v>127</v>
      </c>
      <c r="AL53" t="s">
        <v>113</v>
      </c>
      <c r="AM53" s="6">
        <v>1325.64</v>
      </c>
      <c r="AN53" s="6">
        <v>4203.6899999999996</v>
      </c>
      <c r="AO53" s="6">
        <f t="shared" si="1"/>
        <v>132.56400000000002</v>
      </c>
      <c r="AP53" s="6">
        <f t="shared" si="2"/>
        <v>39.769200000000005</v>
      </c>
      <c r="AQ53" s="6">
        <f t="shared" si="3"/>
        <v>1497.9732000000001</v>
      </c>
      <c r="AR53">
        <v>501</v>
      </c>
      <c r="AS53" s="6">
        <f>AQ53*1.045</f>
        <v>1565.3819940000001</v>
      </c>
      <c r="AT53" s="6">
        <v>0</v>
      </c>
      <c r="AU53" s="6">
        <f>AS53*1.2</f>
        <v>1878.4583928</v>
      </c>
      <c r="AV53" s="6">
        <v>446.59</v>
      </c>
      <c r="AW53" s="6">
        <v>1955.32</v>
      </c>
      <c r="AX53" t="s">
        <v>118</v>
      </c>
      <c r="AY53" t="s">
        <v>244</v>
      </c>
      <c r="AZ53" s="3">
        <v>843141000000</v>
      </c>
      <c r="BA53" t="s">
        <v>169</v>
      </c>
      <c r="BB53" t="s">
        <v>243</v>
      </c>
      <c r="BC53" t="s">
        <v>112</v>
      </c>
      <c r="BD53">
        <v>18</v>
      </c>
      <c r="BE53">
        <v>122</v>
      </c>
      <c r="BF53">
        <v>127</v>
      </c>
      <c r="BG53" t="s">
        <v>113</v>
      </c>
      <c r="BH53" s="6">
        <v>1431.92</v>
      </c>
      <c r="BI53" s="6">
        <v>4203.6899999999996</v>
      </c>
      <c r="BJ53" s="6">
        <f t="shared" si="4"/>
        <v>143.19200000000001</v>
      </c>
      <c r="BK53" s="6">
        <f t="shared" si="5"/>
        <v>42.957599999999999</v>
      </c>
      <c r="BL53" s="6">
        <f t="shared" si="6"/>
        <v>1618.0696</v>
      </c>
      <c r="BM53" s="6">
        <v>501</v>
      </c>
      <c r="BN53" s="6">
        <f>BL53*1.02</f>
        <v>1650.4309920000001</v>
      </c>
      <c r="BO53" s="6">
        <v>0</v>
      </c>
      <c r="BP53" s="6">
        <f>BN53*1.2</f>
        <v>1980.5171903999999</v>
      </c>
      <c r="BQ53" s="6">
        <f t="shared" si="7"/>
        <v>362.44759039999985</v>
      </c>
      <c r="BR53" s="6">
        <f t="shared" si="8"/>
        <v>1980.5171903999999</v>
      </c>
      <c r="BS53" t="s">
        <v>118</v>
      </c>
      <c r="BT53" t="s">
        <v>245</v>
      </c>
      <c r="BU53" s="3">
        <v>850421000000</v>
      </c>
      <c r="BV53" t="s">
        <v>171</v>
      </c>
      <c r="BW53" t="s">
        <v>243</v>
      </c>
      <c r="BX53" t="s">
        <v>112</v>
      </c>
      <c r="BY53">
        <v>15</v>
      </c>
      <c r="BZ53">
        <v>122</v>
      </c>
      <c r="CA53">
        <v>127</v>
      </c>
      <c r="CB53" t="s">
        <v>113</v>
      </c>
      <c r="CC53" s="6">
        <v>1446.13</v>
      </c>
      <c r="CD53" s="6">
        <v>4203.6899999999996</v>
      </c>
      <c r="CE53" s="6">
        <f t="shared" si="9"/>
        <v>144.61300000000003</v>
      </c>
      <c r="CF53" s="6">
        <f t="shared" si="10"/>
        <v>43.383900000000004</v>
      </c>
      <c r="CG53" s="6">
        <f t="shared" si="11"/>
        <v>1634.1269000000002</v>
      </c>
      <c r="CH53" s="6">
        <v>501</v>
      </c>
      <c r="CI53" s="6">
        <f>CG53*1.02</f>
        <v>1666.8094380000002</v>
      </c>
      <c r="CJ53" s="6">
        <v>0</v>
      </c>
      <c r="CK53" s="6">
        <f>CI53*1.2</f>
        <v>2000.1713256000003</v>
      </c>
      <c r="CL53" s="6">
        <f t="shared" si="12"/>
        <v>366.04442560000007</v>
      </c>
      <c r="CM53" s="6">
        <f t="shared" si="13"/>
        <v>2000.1713256000003</v>
      </c>
      <c r="CN53" t="s">
        <v>118</v>
      </c>
      <c r="CO53" t="s">
        <v>246</v>
      </c>
      <c r="CP53">
        <f t="shared" ca="1" si="14"/>
        <v>3.650805059429707E-2</v>
      </c>
    </row>
    <row r="54" spans="1:94" x14ac:dyDescent="0.35">
      <c r="A54">
        <v>1222603062</v>
      </c>
      <c r="B54" t="s">
        <v>526</v>
      </c>
      <c r="C54" t="s">
        <v>363</v>
      </c>
      <c r="D54" t="s">
        <v>93</v>
      </c>
      <c r="E54">
        <v>4000</v>
      </c>
      <c r="F54" t="s">
        <v>94</v>
      </c>
      <c r="G54" t="s">
        <v>95</v>
      </c>
      <c r="H54" t="s">
        <v>96</v>
      </c>
      <c r="I54" t="s">
        <v>124</v>
      </c>
      <c r="J54" t="s">
        <v>98</v>
      </c>
      <c r="K54" s="6">
        <f t="shared" si="0"/>
        <v>5991.5194351999999</v>
      </c>
      <c r="L54" t="s">
        <v>99</v>
      </c>
      <c r="M54" t="s">
        <v>100</v>
      </c>
      <c r="N54" t="s">
        <v>125</v>
      </c>
      <c r="O54" t="s">
        <v>96</v>
      </c>
      <c r="P54" t="s">
        <v>96</v>
      </c>
      <c r="Q54" t="s">
        <v>364</v>
      </c>
      <c r="R54" t="s">
        <v>127</v>
      </c>
      <c r="S54" t="s">
        <v>104</v>
      </c>
      <c r="T54">
        <v>0</v>
      </c>
      <c r="U54">
        <v>30</v>
      </c>
      <c r="V54">
        <v>30</v>
      </c>
      <c r="W54" t="s">
        <v>105</v>
      </c>
      <c r="X54" t="s">
        <v>106</v>
      </c>
      <c r="Y54" t="s">
        <v>107</v>
      </c>
      <c r="Z54" t="s">
        <v>108</v>
      </c>
      <c r="AA54">
        <v>450</v>
      </c>
      <c r="AB54">
        <v>465</v>
      </c>
      <c r="AC54" t="s">
        <v>109</v>
      </c>
      <c r="AD54" t="s">
        <v>207</v>
      </c>
      <c r="AE54" s="3">
        <v>401110000000</v>
      </c>
      <c r="AF54" t="s">
        <v>167</v>
      </c>
      <c r="AG54" t="s">
        <v>127</v>
      </c>
      <c r="AH54" t="s">
        <v>112</v>
      </c>
      <c r="AI54">
        <v>13</v>
      </c>
      <c r="AJ54">
        <v>150</v>
      </c>
      <c r="AK54">
        <v>155</v>
      </c>
      <c r="AL54" t="s">
        <v>113</v>
      </c>
      <c r="AM54" s="6">
        <v>944.83</v>
      </c>
      <c r="AN54" s="6">
        <f>AM54*1.08</f>
        <v>1020.4164000000001</v>
      </c>
      <c r="AO54" s="6">
        <f t="shared" si="1"/>
        <v>94.483000000000004</v>
      </c>
      <c r="AP54" s="6">
        <f t="shared" si="2"/>
        <v>28.344899999999999</v>
      </c>
      <c r="AQ54" s="6">
        <f t="shared" si="3"/>
        <v>1067.6579000000002</v>
      </c>
      <c r="AR54">
        <v>501</v>
      </c>
      <c r="AS54" s="6">
        <v>0</v>
      </c>
      <c r="AT54" s="6">
        <v>0</v>
      </c>
      <c r="AU54" s="6">
        <f>AQ54*1.2</f>
        <v>1281.1894800000002</v>
      </c>
      <c r="AV54" s="6">
        <v>598.53</v>
      </c>
      <c r="AW54" s="6">
        <v>3591.17</v>
      </c>
      <c r="AX54" t="s">
        <v>114</v>
      </c>
      <c r="AY54" t="s">
        <v>365</v>
      </c>
      <c r="AZ54" s="3">
        <v>843141000000</v>
      </c>
      <c r="BA54" t="s">
        <v>169</v>
      </c>
      <c r="BB54" t="s">
        <v>127</v>
      </c>
      <c r="BC54" t="s">
        <v>112</v>
      </c>
      <c r="BD54">
        <v>18</v>
      </c>
      <c r="BE54">
        <v>150</v>
      </c>
      <c r="BF54">
        <v>155</v>
      </c>
      <c r="BG54" t="s">
        <v>113</v>
      </c>
      <c r="BH54" s="6">
        <v>851.03</v>
      </c>
      <c r="BI54" s="6">
        <f>BH54*1.08</f>
        <v>919.11239999999998</v>
      </c>
      <c r="BJ54" s="6">
        <f t="shared" si="4"/>
        <v>85.103000000000009</v>
      </c>
      <c r="BK54" s="6">
        <f t="shared" si="5"/>
        <v>25.530899999999999</v>
      </c>
      <c r="BL54" s="6">
        <f t="shared" si="6"/>
        <v>961.66390000000001</v>
      </c>
      <c r="BM54" s="6">
        <v>501</v>
      </c>
      <c r="BN54" s="6">
        <f>BL54*1.02</f>
        <v>980.89717800000005</v>
      </c>
      <c r="BO54" s="6">
        <v>0</v>
      </c>
      <c r="BP54" s="6">
        <f>BN54*1.2</f>
        <v>1177.0766136</v>
      </c>
      <c r="BQ54" s="6">
        <f t="shared" si="7"/>
        <v>215.41271359999996</v>
      </c>
      <c r="BR54" s="6">
        <f t="shared" si="8"/>
        <v>1177.0766136</v>
      </c>
      <c r="BS54" t="s">
        <v>114</v>
      </c>
      <c r="BT54" t="s">
        <v>366</v>
      </c>
      <c r="BU54" s="3">
        <v>850421000000</v>
      </c>
      <c r="BV54" t="s">
        <v>171</v>
      </c>
      <c r="BW54" t="s">
        <v>127</v>
      </c>
      <c r="BX54" t="s">
        <v>112</v>
      </c>
      <c r="BY54">
        <v>13</v>
      </c>
      <c r="BZ54">
        <v>150</v>
      </c>
      <c r="CA54">
        <v>155</v>
      </c>
      <c r="CB54" t="s">
        <v>113</v>
      </c>
      <c r="CC54" s="6">
        <v>884.43</v>
      </c>
      <c r="CD54" s="6">
        <f>CC54*1.08</f>
        <v>955.18439999999998</v>
      </c>
      <c r="CE54" s="6">
        <f t="shared" si="9"/>
        <v>88.442999999999998</v>
      </c>
      <c r="CF54" s="6">
        <f t="shared" si="10"/>
        <v>26.532899999999998</v>
      </c>
      <c r="CG54" s="6">
        <f t="shared" si="11"/>
        <v>999.40589999999997</v>
      </c>
      <c r="CH54" s="6">
        <v>501</v>
      </c>
      <c r="CI54" s="6">
        <f>CG54*1.02</f>
        <v>1019.394018</v>
      </c>
      <c r="CJ54" s="6">
        <v>0</v>
      </c>
      <c r="CK54" s="6">
        <f>CI54*1.2</f>
        <v>1223.2728215999998</v>
      </c>
      <c r="CL54" s="6">
        <f t="shared" si="12"/>
        <v>223.86692159999984</v>
      </c>
      <c r="CM54" s="6">
        <f t="shared" si="13"/>
        <v>1223.2728215999998</v>
      </c>
      <c r="CN54" t="s">
        <v>114</v>
      </c>
      <c r="CO54" t="s">
        <v>367</v>
      </c>
      <c r="CP54">
        <f t="shared" ca="1" si="14"/>
        <v>0.51384227593538445</v>
      </c>
    </row>
    <row r="55" spans="1:94" x14ac:dyDescent="0.35">
      <c r="A55">
        <v>1222603064</v>
      </c>
      <c r="B55" t="s">
        <v>532</v>
      </c>
      <c r="C55" t="s">
        <v>527</v>
      </c>
      <c r="D55" t="s">
        <v>93</v>
      </c>
      <c r="E55">
        <v>4000</v>
      </c>
      <c r="F55" t="s">
        <v>94</v>
      </c>
      <c r="G55" t="s">
        <v>95</v>
      </c>
      <c r="H55" t="s">
        <v>96</v>
      </c>
      <c r="I55" t="s">
        <v>162</v>
      </c>
      <c r="J55" t="s">
        <v>98</v>
      </c>
      <c r="K55" s="6">
        <f t="shared" si="0"/>
        <v>7153.4898599999997</v>
      </c>
      <c r="L55" t="s">
        <v>99</v>
      </c>
      <c r="M55" t="s">
        <v>100</v>
      </c>
      <c r="N55" t="s">
        <v>163</v>
      </c>
      <c r="O55" t="s">
        <v>96</v>
      </c>
      <c r="P55" t="s">
        <v>96</v>
      </c>
      <c r="Q55" t="s">
        <v>528</v>
      </c>
      <c r="R55" t="s">
        <v>165</v>
      </c>
      <c r="S55" t="s">
        <v>104</v>
      </c>
      <c r="T55">
        <v>0</v>
      </c>
      <c r="U55">
        <v>30</v>
      </c>
      <c r="V55">
        <v>30</v>
      </c>
      <c r="W55" t="s">
        <v>105</v>
      </c>
      <c r="X55" t="s">
        <v>106</v>
      </c>
      <c r="Y55" t="s">
        <v>107</v>
      </c>
      <c r="Z55" t="s">
        <v>108</v>
      </c>
      <c r="AA55">
        <v>612</v>
      </c>
      <c r="AB55">
        <v>627</v>
      </c>
      <c r="AC55" t="s">
        <v>109</v>
      </c>
      <c r="AD55" t="s">
        <v>180</v>
      </c>
      <c r="AE55" s="3">
        <v>847130000000</v>
      </c>
      <c r="AF55" t="s">
        <v>154</v>
      </c>
      <c r="AG55" t="s">
        <v>165</v>
      </c>
      <c r="AH55" t="s">
        <v>112</v>
      </c>
      <c r="AI55">
        <v>16</v>
      </c>
      <c r="AJ55">
        <v>204</v>
      </c>
      <c r="AK55">
        <v>209</v>
      </c>
      <c r="AL55" t="s">
        <v>113</v>
      </c>
      <c r="AM55" s="6">
        <v>1679.08</v>
      </c>
      <c r="AN55" s="6">
        <f>AM55*1.08</f>
        <v>1813.4064000000001</v>
      </c>
      <c r="AO55" s="6">
        <f t="shared" si="1"/>
        <v>167.90800000000002</v>
      </c>
      <c r="AP55" s="6">
        <f t="shared" si="2"/>
        <v>50.372399999999999</v>
      </c>
      <c r="AQ55" s="6">
        <f t="shared" si="3"/>
        <v>1897.3603999999998</v>
      </c>
      <c r="AR55">
        <v>501</v>
      </c>
      <c r="AS55" s="6">
        <v>0</v>
      </c>
      <c r="AT55" s="6">
        <v>0</v>
      </c>
      <c r="AU55" s="6">
        <f>AQ55*1.2</f>
        <v>2276.8324799999996</v>
      </c>
      <c r="AV55" s="6">
        <f>AU55-AQ55</f>
        <v>379.47207999999978</v>
      </c>
      <c r="AW55" s="6">
        <f>AU55</f>
        <v>2276.8324799999996</v>
      </c>
      <c r="AX55" t="s">
        <v>114</v>
      </c>
      <c r="AY55" t="s">
        <v>529</v>
      </c>
      <c r="AZ55" s="3">
        <v>851713000000</v>
      </c>
      <c r="BA55" t="s">
        <v>156</v>
      </c>
      <c r="BB55" t="s">
        <v>165</v>
      </c>
      <c r="BC55" t="s">
        <v>112</v>
      </c>
      <c r="BD55">
        <v>5</v>
      </c>
      <c r="BE55">
        <v>204</v>
      </c>
      <c r="BF55">
        <v>209</v>
      </c>
      <c r="BG55" t="s">
        <v>113</v>
      </c>
      <c r="BH55" s="6">
        <v>1092.25</v>
      </c>
      <c r="BI55" s="6">
        <f>BH55*1.08</f>
        <v>1179.6300000000001</v>
      </c>
      <c r="BJ55" s="6">
        <f t="shared" si="4"/>
        <v>109.22500000000001</v>
      </c>
      <c r="BK55" s="6">
        <f t="shared" si="5"/>
        <v>32.767499999999998</v>
      </c>
      <c r="BL55" s="6">
        <f t="shared" si="6"/>
        <v>1234.2424999999998</v>
      </c>
      <c r="BM55" s="6">
        <v>602</v>
      </c>
      <c r="BN55" s="6">
        <v>0</v>
      </c>
      <c r="BO55" s="6">
        <f>BL55*1.5</f>
        <v>1851.3637499999998</v>
      </c>
      <c r="BP55" s="6">
        <f>BO55*1.2</f>
        <v>2221.6364999999996</v>
      </c>
      <c r="BQ55" s="6">
        <f t="shared" si="7"/>
        <v>987.39399999999978</v>
      </c>
      <c r="BR55" s="6">
        <f t="shared" si="8"/>
        <v>2221.6364999999996</v>
      </c>
      <c r="BS55" t="s">
        <v>114</v>
      </c>
      <c r="BT55" t="s">
        <v>530</v>
      </c>
      <c r="BU55" s="3">
        <v>701349100000</v>
      </c>
      <c r="BV55" t="s">
        <v>158</v>
      </c>
      <c r="BW55" t="s">
        <v>165</v>
      </c>
      <c r="BX55" t="s">
        <v>112</v>
      </c>
      <c r="BY55">
        <v>20</v>
      </c>
      <c r="BZ55">
        <v>204</v>
      </c>
      <c r="CA55">
        <v>209</v>
      </c>
      <c r="CB55" t="s">
        <v>113</v>
      </c>
      <c r="CC55" s="6">
        <v>1957.98</v>
      </c>
      <c r="CD55" s="6">
        <f>CC55*1.08</f>
        <v>2114.6184000000003</v>
      </c>
      <c r="CE55" s="6">
        <f t="shared" si="9"/>
        <v>195.798</v>
      </c>
      <c r="CF55" s="6">
        <f t="shared" si="10"/>
        <v>58.739399999999996</v>
      </c>
      <c r="CG55" s="6">
        <f t="shared" si="11"/>
        <v>2212.5174000000002</v>
      </c>
      <c r="CH55" s="6">
        <v>501</v>
      </c>
      <c r="CI55" s="6">
        <v>0</v>
      </c>
      <c r="CJ55" s="6">
        <v>0</v>
      </c>
      <c r="CK55" s="6">
        <f>CG55*1.2</f>
        <v>2655.02088</v>
      </c>
      <c r="CL55" s="6">
        <f t="shared" si="12"/>
        <v>442.50347999999985</v>
      </c>
      <c r="CM55" s="6">
        <f t="shared" si="13"/>
        <v>2655.02088</v>
      </c>
      <c r="CN55" t="s">
        <v>114</v>
      </c>
      <c r="CO55" t="s">
        <v>531</v>
      </c>
      <c r="CP55">
        <f t="shared" ca="1" si="14"/>
        <v>5.047315819350251E-3</v>
      </c>
    </row>
    <row r="56" spans="1:94" x14ac:dyDescent="0.35">
      <c r="A56">
        <v>1222603601</v>
      </c>
      <c r="B56" t="s">
        <v>538</v>
      </c>
      <c r="C56" t="s">
        <v>503</v>
      </c>
      <c r="D56" t="s">
        <v>93</v>
      </c>
      <c r="E56">
        <v>4000</v>
      </c>
      <c r="F56" t="s">
        <v>94</v>
      </c>
      <c r="G56" t="s">
        <v>95</v>
      </c>
      <c r="H56" t="s">
        <v>96</v>
      </c>
      <c r="I56" t="s">
        <v>97</v>
      </c>
      <c r="J56" t="s">
        <v>98</v>
      </c>
      <c r="K56" s="6">
        <f t="shared" si="0"/>
        <v>30090.770904000001</v>
      </c>
      <c r="L56" t="s">
        <v>99</v>
      </c>
      <c r="M56" t="s">
        <v>100</v>
      </c>
      <c r="N56" t="s">
        <v>101</v>
      </c>
      <c r="O56" t="s">
        <v>96</v>
      </c>
      <c r="P56" t="s">
        <v>96</v>
      </c>
      <c r="Q56" t="s">
        <v>504</v>
      </c>
      <c r="R56" t="s">
        <v>103</v>
      </c>
      <c r="S56" t="s">
        <v>104</v>
      </c>
      <c r="T56">
        <v>0</v>
      </c>
      <c r="U56">
        <v>30</v>
      </c>
      <c r="V56">
        <v>30</v>
      </c>
      <c r="W56" t="s">
        <v>105</v>
      </c>
      <c r="X56" t="s">
        <v>106</v>
      </c>
      <c r="Y56" t="s">
        <v>107</v>
      </c>
      <c r="Z56" t="s">
        <v>108</v>
      </c>
      <c r="AA56">
        <v>588</v>
      </c>
      <c r="AB56">
        <v>603</v>
      </c>
      <c r="AC56" t="s">
        <v>109</v>
      </c>
      <c r="AD56" t="s">
        <v>344</v>
      </c>
      <c r="AE56" s="3">
        <v>870323190000</v>
      </c>
      <c r="AF56" t="s">
        <v>194</v>
      </c>
      <c r="AG56" t="s">
        <v>103</v>
      </c>
      <c r="AH56" t="s">
        <v>195</v>
      </c>
      <c r="AI56">
        <v>17</v>
      </c>
      <c r="AJ56">
        <v>196</v>
      </c>
      <c r="AK56">
        <v>201</v>
      </c>
      <c r="AL56" t="s">
        <v>113</v>
      </c>
      <c r="AM56" s="6">
        <v>6594.23</v>
      </c>
      <c r="AN56" s="6">
        <f>AM56*1.08</f>
        <v>7121.7683999999999</v>
      </c>
      <c r="AO56" s="6">
        <f t="shared" si="1"/>
        <v>659.423</v>
      </c>
      <c r="AP56" s="6">
        <f t="shared" si="2"/>
        <v>197.82689999999997</v>
      </c>
      <c r="AQ56" s="6">
        <f t="shared" si="3"/>
        <v>7451.4798999999994</v>
      </c>
      <c r="AR56">
        <v>602</v>
      </c>
      <c r="AS56" s="6">
        <v>0</v>
      </c>
      <c r="AT56" s="6">
        <f>AQ56*1.8</f>
        <v>13412.66382</v>
      </c>
      <c r="AU56" s="6">
        <f>AT56*1.2</f>
        <v>16095.196583999999</v>
      </c>
      <c r="AV56" s="6">
        <f>AU56-AQ56</f>
        <v>8643.7166839999991</v>
      </c>
      <c r="AW56" s="6">
        <f>AU56</f>
        <v>16095.196583999999</v>
      </c>
      <c r="AX56" t="s">
        <v>114</v>
      </c>
      <c r="AY56" t="s">
        <v>505</v>
      </c>
      <c r="AZ56" s="3">
        <v>842720000000</v>
      </c>
      <c r="BA56" t="s">
        <v>197</v>
      </c>
      <c r="BB56" t="s">
        <v>103</v>
      </c>
      <c r="BC56" t="s">
        <v>195</v>
      </c>
      <c r="BD56">
        <v>14</v>
      </c>
      <c r="BE56">
        <v>196</v>
      </c>
      <c r="BF56">
        <v>201</v>
      </c>
      <c r="BG56" t="s">
        <v>113</v>
      </c>
      <c r="BH56" s="6">
        <v>5286.05</v>
      </c>
      <c r="BI56" s="6">
        <f>BH56*1.08</f>
        <v>5708.9340000000002</v>
      </c>
      <c r="BJ56" s="6">
        <f t="shared" si="4"/>
        <v>528.60500000000002</v>
      </c>
      <c r="BK56" s="6">
        <f t="shared" si="5"/>
        <v>158.58150000000001</v>
      </c>
      <c r="BL56" s="6">
        <f t="shared" si="6"/>
        <v>5973.2365000000009</v>
      </c>
      <c r="BM56" s="6">
        <v>501</v>
      </c>
      <c r="BN56" s="6">
        <v>0</v>
      </c>
      <c r="BO56" s="6">
        <v>0</v>
      </c>
      <c r="BP56" s="6">
        <f>BL56*1.2</f>
        <v>7167.8838000000005</v>
      </c>
      <c r="BQ56" s="6">
        <f t="shared" si="7"/>
        <v>1194.6472999999996</v>
      </c>
      <c r="BR56" s="6">
        <f t="shared" si="8"/>
        <v>7167.8838000000005</v>
      </c>
      <c r="BS56" t="s">
        <v>114</v>
      </c>
      <c r="BT56" t="s">
        <v>506</v>
      </c>
      <c r="BU56" s="3">
        <v>640399930000</v>
      </c>
      <c r="BV56" t="s">
        <v>199</v>
      </c>
      <c r="BW56" t="s">
        <v>103</v>
      </c>
      <c r="BX56" t="s">
        <v>112</v>
      </c>
      <c r="BY56">
        <v>19</v>
      </c>
      <c r="BZ56">
        <v>196</v>
      </c>
      <c r="CA56">
        <v>201</v>
      </c>
      <c r="CB56" t="s">
        <v>113</v>
      </c>
      <c r="CC56" s="6">
        <v>5035.17</v>
      </c>
      <c r="CD56" s="6">
        <f>CC56*1.08</f>
        <v>5437.9836000000005</v>
      </c>
      <c r="CE56" s="6">
        <f t="shared" si="9"/>
        <v>503.51700000000005</v>
      </c>
      <c r="CF56" s="6">
        <f t="shared" si="10"/>
        <v>151.05510000000001</v>
      </c>
      <c r="CG56" s="6">
        <f t="shared" si="11"/>
        <v>5689.7420999999995</v>
      </c>
      <c r="CH56" s="6">
        <v>501</v>
      </c>
      <c r="CI56" s="6">
        <v>0</v>
      </c>
      <c r="CJ56" s="6">
        <v>0</v>
      </c>
      <c r="CK56" s="6">
        <f>CG56*1.2</f>
        <v>6827.6905199999992</v>
      </c>
      <c r="CL56" s="6">
        <f t="shared" si="12"/>
        <v>1137.9484199999997</v>
      </c>
      <c r="CM56" s="6">
        <f t="shared" si="13"/>
        <v>6827.6905199999992</v>
      </c>
      <c r="CN56" t="s">
        <v>114</v>
      </c>
      <c r="CO56" t="s">
        <v>507</v>
      </c>
      <c r="CP56">
        <f t="shared" ca="1" si="14"/>
        <v>0.57006923793164599</v>
      </c>
    </row>
    <row r="57" spans="1:94" x14ac:dyDescent="0.35">
      <c r="A57">
        <v>1232603801</v>
      </c>
      <c r="B57" t="s">
        <v>544</v>
      </c>
      <c r="C57" t="s">
        <v>466</v>
      </c>
      <c r="D57" t="s">
        <v>93</v>
      </c>
      <c r="E57">
        <v>4000</v>
      </c>
      <c r="F57" t="s">
        <v>94</v>
      </c>
      <c r="G57" t="s">
        <v>95</v>
      </c>
      <c r="H57" t="s">
        <v>96</v>
      </c>
      <c r="I57" t="s">
        <v>304</v>
      </c>
      <c r="J57" t="s">
        <v>176</v>
      </c>
      <c r="K57" s="6">
        <f t="shared" si="0"/>
        <v>2643.1632250000002</v>
      </c>
      <c r="L57" t="s">
        <v>99</v>
      </c>
      <c r="M57" t="s">
        <v>100</v>
      </c>
      <c r="N57" t="s">
        <v>305</v>
      </c>
      <c r="O57" t="s">
        <v>96</v>
      </c>
      <c r="P57" t="s">
        <v>96</v>
      </c>
      <c r="Q57" t="s">
        <v>467</v>
      </c>
      <c r="R57" t="s">
        <v>307</v>
      </c>
      <c r="S57" t="s">
        <v>104</v>
      </c>
      <c r="T57">
        <v>0</v>
      </c>
      <c r="U57">
        <v>30</v>
      </c>
      <c r="V57">
        <v>30</v>
      </c>
      <c r="W57" t="s">
        <v>105</v>
      </c>
      <c r="X57" t="s">
        <v>106</v>
      </c>
      <c r="Y57" t="s">
        <v>107</v>
      </c>
      <c r="Z57" t="s">
        <v>108</v>
      </c>
      <c r="AA57">
        <v>552</v>
      </c>
      <c r="AB57">
        <v>567</v>
      </c>
      <c r="AC57" t="s">
        <v>109</v>
      </c>
      <c r="AD57" t="s">
        <v>468</v>
      </c>
      <c r="AE57" s="3">
        <v>190531990000</v>
      </c>
      <c r="AF57" t="s">
        <v>111</v>
      </c>
      <c r="AG57" t="s">
        <v>307</v>
      </c>
      <c r="AH57" t="s">
        <v>112</v>
      </c>
      <c r="AI57">
        <v>17</v>
      </c>
      <c r="AJ57">
        <v>184</v>
      </c>
      <c r="AK57">
        <v>189</v>
      </c>
      <c r="AL57" t="s">
        <v>113</v>
      </c>
      <c r="AM57" s="6">
        <v>764.64</v>
      </c>
      <c r="AN57" s="6">
        <v>1965.17</v>
      </c>
      <c r="AO57" s="6">
        <f t="shared" si="1"/>
        <v>76.463999999999999</v>
      </c>
      <c r="AP57" s="6">
        <f t="shared" si="2"/>
        <v>22.9392</v>
      </c>
      <c r="AQ57" s="6">
        <f t="shared" si="3"/>
        <v>864.04320000000007</v>
      </c>
      <c r="AR57">
        <v>501</v>
      </c>
      <c r="AS57" s="6">
        <f>AQ57*1.1</f>
        <v>950.44752000000017</v>
      </c>
      <c r="AT57" s="6">
        <v>0</v>
      </c>
      <c r="AU57" s="6">
        <f>AS57*1.2</f>
        <v>1140.5370240000002</v>
      </c>
      <c r="AV57" s="6">
        <f>AU57-AQ57</f>
        <v>276.49382400000013</v>
      </c>
      <c r="AW57" s="6">
        <f>AU57</f>
        <v>1140.5370240000002</v>
      </c>
      <c r="AX57" t="s">
        <v>118</v>
      </c>
      <c r="AY57" t="s">
        <v>469</v>
      </c>
      <c r="AZ57" s="3">
        <v>804100000000</v>
      </c>
      <c r="BA57" t="s">
        <v>116</v>
      </c>
      <c r="BB57" t="s">
        <v>307</v>
      </c>
      <c r="BC57" t="s">
        <v>117</v>
      </c>
      <c r="BD57">
        <v>5</v>
      </c>
      <c r="BE57">
        <v>184</v>
      </c>
      <c r="BF57">
        <v>189</v>
      </c>
      <c r="BG57" t="s">
        <v>113</v>
      </c>
      <c r="BH57" s="6">
        <v>616.96</v>
      </c>
      <c r="BI57" s="6">
        <v>1965.17</v>
      </c>
      <c r="BJ57" s="6">
        <f t="shared" si="4"/>
        <v>61.696000000000005</v>
      </c>
      <c r="BK57" s="6">
        <f t="shared" si="5"/>
        <v>18.508800000000001</v>
      </c>
      <c r="BL57" s="6">
        <f t="shared" si="6"/>
        <v>697.16480000000001</v>
      </c>
      <c r="BM57" s="6">
        <v>501</v>
      </c>
      <c r="BN57" s="6">
        <v>0</v>
      </c>
      <c r="BO57" s="6">
        <v>0</v>
      </c>
      <c r="BP57" s="6">
        <f>BL57*1.2</f>
        <v>836.59775999999999</v>
      </c>
      <c r="BQ57" s="6">
        <f t="shared" si="7"/>
        <v>139.43295999999998</v>
      </c>
      <c r="BR57" s="6">
        <f t="shared" si="8"/>
        <v>836.59775999999999</v>
      </c>
      <c r="BS57" t="s">
        <v>118</v>
      </c>
      <c r="BT57" t="s">
        <v>470</v>
      </c>
      <c r="BU57" s="3">
        <v>100199000000</v>
      </c>
      <c r="BV57" t="s">
        <v>120</v>
      </c>
      <c r="BW57" t="s">
        <v>307</v>
      </c>
      <c r="BX57" t="s">
        <v>117</v>
      </c>
      <c r="BY57">
        <v>19</v>
      </c>
      <c r="BZ57">
        <v>184</v>
      </c>
      <c r="CA57">
        <v>189</v>
      </c>
      <c r="CB57" t="s">
        <v>113</v>
      </c>
      <c r="CC57" s="6">
        <v>583.57000000000005</v>
      </c>
      <c r="CD57" s="6">
        <v>1965.17</v>
      </c>
      <c r="CE57" s="6">
        <f t="shared" si="9"/>
        <v>58.357000000000006</v>
      </c>
      <c r="CF57" s="6">
        <f t="shared" si="10"/>
        <v>17.507100000000001</v>
      </c>
      <c r="CG57" s="6">
        <f t="shared" si="11"/>
        <v>659.43410000000006</v>
      </c>
      <c r="CH57" s="6">
        <v>501</v>
      </c>
      <c r="CI57" s="6">
        <v>0</v>
      </c>
      <c r="CJ57" s="6">
        <v>0</v>
      </c>
      <c r="CK57" s="6">
        <f>CG57*1.01</f>
        <v>666.02844100000004</v>
      </c>
      <c r="CL57" s="6">
        <f t="shared" si="12"/>
        <v>6.5943409999999858</v>
      </c>
      <c r="CM57" s="6">
        <f t="shared" si="13"/>
        <v>666.02844100000004</v>
      </c>
      <c r="CN57" t="s">
        <v>118</v>
      </c>
      <c r="CO57" t="s">
        <v>471</v>
      </c>
      <c r="CP57">
        <f t="shared" ca="1" si="14"/>
        <v>0.366915692955888</v>
      </c>
    </row>
  </sheetData>
  <autoFilter ref="A1:CP57" xr:uid="{00000000-0001-0000-0000-000000000000}">
    <sortState xmlns:xlrd2="http://schemas.microsoft.com/office/spreadsheetml/2017/richdata2" ref="A2:CP57">
      <sortCondition ref="CP2:CP57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MergeData</vt:lpstr>
      <vt:lpstr>Sayfa1</vt:lpstr>
      <vt:lpstr>MergeData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Olgun Irmak ÇETİN</cp:lastModifiedBy>
  <dcterms:created xsi:type="dcterms:W3CDTF">2025-12-16T19:48:12Z</dcterms:created>
  <dcterms:modified xsi:type="dcterms:W3CDTF">2025-12-19T19:02:39Z</dcterms:modified>
</cp:coreProperties>
</file>